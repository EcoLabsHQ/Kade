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ca143d9db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d82ce1ad464268"/>
    <x:sheet xmlns:r="http://schemas.openxmlformats.org/officeDocument/2006/relationships" name="Backlog" sheetId="2" r:id="Reb4b5b62fef54f68"/>
    <x:sheet xmlns:r="http://schemas.openxmlformats.org/officeDocument/2006/relationships" name="80h Plan" sheetId="3" r:id="Rf11218f97e22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"/>
    <x:numFmt numFmtId="202" formatCode="$#,##0.00"/>
    <x:numFmt numFmtId="203" formatCode="yyyy-mm-dd"/>
  </x:numFmts>
  <x:fonts count="9">
    <x:font>
      <x:sz val="11"/>
      <x:name val="Carlito"/>
    </x:font>
    <x:font>
      <x:sz val="10"/>
      <x:color rgb="FF1F2937"/>
      <x:name val="Arial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i/>
      <x:sz val="9"/>
      <x:color rgb="FF4B5563"/>
      <x:name val="Arial"/>
    </x:font>
    <x:font>
      <x:b/>
      <x:sz val="9"/>
      <x:color rgb="FF1F4E78"/>
      <x:name val="Arial"/>
    </x:font>
    <x:font>
      <x:sz val="9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</x:fills>
  <x:borders count="12">
    <x:border/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4" fillId="2" borderId="7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/>
    <x:xf numFmtId="0" fontId="5" fillId="3" borderId="8" xfId="0" applyNumberFormat="1" applyFont="1" applyFill="1" applyBorder="1"/>
    <x:xf numFmtId="0" fontId="5" fillId="3" borderId="6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1" fillId="0" borderId="4" xfId="0" applyNumberFormat="1" applyFont="1" applyFill="1" applyBorder="1"/>
    <x:xf numFmtId="200" fontId="1" fillId="0" borderId="6" xfId="0" applyNumberFormat="1" applyFont="1" applyFill="1" applyBorder="1"/>
    <x:xf numFmtId="201" fontId="1" fillId="0" borderId="4" xfId="0" applyNumberFormat="1" applyFont="1" applyFill="1" applyBorder="1"/>
    <x:xf numFmtId="202" fontId="1" fillId="0" borderId="6" xfId="0" applyNumberFormat="1" applyFont="1" applyFill="1" applyBorder="1"/>
    <x:xf numFmtId="200" fontId="1" fillId="0" borderId="0" xfId="0" applyNumberFormat="1" applyFont="1" applyFill="1" applyBorder="1"/>
    <x:xf numFmtId="200" fontId="5" fillId="3" borderId="8" xfId="0" applyNumberFormat="1" applyFont="1" applyFill="1" applyBorder="1"/>
    <x:xf numFmtId="200" fontId="5" fillId="3" borderId="6" xfId="0" applyNumberFormat="1" applyFont="1" applyFill="1" applyBorder="1"/>
    <x:xf numFmtId="203" fontId="1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200" fontId="5" fillId="3" borderId="8" xfId="0" applyNumberFormat="1" applyFont="1" applyFill="1" applyBorder="1" applyAlignment="1">
      <x:alignment vertical="center"/>
    </x:xf>
    <x:xf numFmtId="200" fontId="5" fillId="3" borderId="6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3" xfId="0" applyNumberFormat="1" applyFont="1" applyFill="1" applyBorder="1" applyAlignment="1">
      <x:alignment vertical="center" wrapText="0"/>
    </x:xf>
    <x:xf numFmtId="0" fontId="1" fillId="0" borderId="4" xfId="0" applyNumberFormat="1" applyFont="1" applyFill="1" applyBorder="1" applyAlignment="1">
      <x:alignment vertical="center" wrapText="0"/>
    </x:xf>
    <x:xf numFmtId="201" fontId="1" fillId="0" borderId="4" xfId="0" applyNumberFormat="1" applyFont="1" applyFill="1" applyBorder="1" applyAlignment="1">
      <x:alignment vertical="center" wrapText="0"/>
    </x:xf>
    <x:xf numFmtId="200" fontId="1" fillId="0" borderId="4" xfId="0" applyNumberFormat="1" applyFont="1" applyFill="1" applyBorder="1" applyAlignment="1">
      <x:alignment vertical="center" wrapText="0"/>
    </x:xf>
    <x:xf numFmtId="0" fontId="1" fillId="0" borderId="5" xfId="0" applyNumberFormat="1" applyFont="1" applyFill="1" applyBorder="1" applyAlignment="1">
      <x:alignment vertical="center" wrapText="0"/>
    </x:xf>
    <x:xf numFmtId="202" fontId="1" fillId="0" borderId="6" xfId="0" applyNumberFormat="1" applyFont="1" applyFill="1" applyBorder="1" applyAlignment="1">
      <x:alignment vertical="center" wrapText="0"/>
    </x:xf>
    <x:xf numFmtId="200" fontId="1" fillId="0" borderId="6" xfId="0" applyNumberFormat="1" applyFont="1" applyFill="1" applyBorder="1" applyAlignment="1">
      <x:alignment vertical="center" wrapText="0"/>
    </x:xf>
    <x:xf numFmtId="0" fontId="4" fillId="2" borderId="7" xfId="0" applyNumberFormat="1" applyFont="1" applyFill="1" applyBorder="1" applyAlignment="1">
      <x:alignment horizontal="center"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0" fontId="5" fillId="3" borderId="5" xfId="0" applyNumberFormat="1" applyFont="1" applyFill="1" applyBorder="1" applyAlignment="1">
      <x:alignment vertical="center" wrapText="0"/>
    </x:xf>
    <x:xf numFmtId="0" fontId="5" fillId="3" borderId="8" xfId="0" applyNumberFormat="1" applyFont="1" applyFill="1" applyBorder="1" applyAlignment="1">
      <x:alignment vertical="center" wrapText="0"/>
    </x:xf>
    <x:xf numFmtId="200" fontId="5" fillId="3" borderId="8" xfId="0" applyNumberFormat="1" applyFont="1" applyFill="1" applyBorder="1" applyAlignment="1">
      <x:alignment vertical="center" wrapText="0"/>
    </x:xf>
    <x:xf numFmtId="200" fontId="5" fillId="3" borderId="6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5" fillId="3" borderId="6" xfId="0" applyNumberFormat="1" applyFont="1" applyFill="1" applyBorder="1" applyAlignment="1">
      <x:alignment vertical="center" wrapText="0"/>
    </x:xf>
    <x:xf numFmtId="0" fontId="1" fillId="0" borderId="4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203" fontId="1" fillId="0" borderId="10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203" fontId="1" fillId="0" borderId="11" xfId="0" applyNumberFormat="1" applyFont="1" applyFill="1" applyBorder="1" applyAlignment="1">
      <x:alignment vertical="center" wrapText="1"/>
    </x:xf>
    <x:xf numFmtId="200" fontId="1" fillId="0" borderId="11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 applyAlignment="1">
      <x:alignment vertical="center" wrapText="1"/>
    </x:xf>
    <x:xf numFmtId="200" fontId="7" fillId="0" borderId="10" xfId="0" applyNumberFormat="1" applyFont="1" applyFill="1" applyBorder="1" applyAlignment="1">
      <x:alignment vertical="center" wrapText="1"/>
    </x:xf>
    <x:xf numFmtId="200" fontId="7" fillId="0" borderId="1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2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200" fontId="8" fillId="0" borderId="10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200" fontId="8" fillId="0" borderId="11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color rgb="FF27632A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27632A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ffba9a415c4aac" /><Relationship Type="http://schemas.openxmlformats.org/officeDocument/2006/relationships/theme" Target="/xl/theme/theme1.xml" Id="R4a56689f3e244cb2" /><Relationship Type="http://schemas.openxmlformats.org/officeDocument/2006/relationships/sharedStrings" Target="/xl/sharedStrings.xml" Id="R690f2f1bc0a641b2" /><Relationship Type="http://schemas.openxmlformats.org/officeDocument/2006/relationships/worksheet" Target="/xl/worksheets/sheet1.xml" Id="R6cd82ce1ad464268" /><Relationship Type="http://schemas.openxmlformats.org/officeDocument/2006/relationships/worksheet" Target="/xl/worksheets/sheet2.xml" Id="Reb4b5b62fef54f68" /><Relationship Type="http://schemas.openxmlformats.org/officeDocument/2006/relationships/worksheet" Target="/xl/worksheets/sheet3.xml" Id="Rf11218f97e2244de" /></Relationships>
</file>

<file path=xl/tables/table1.xml><?xml version="1.0" encoding="utf-8"?>
<x:table xmlns:x="http://schemas.openxmlformats.org/spreadsheetml/2006/main" id="1" name="KadeBacklogTable" displayName="KadeBacklogTable" ref="A6:P42" headerRowCount="1" totalsRowCount="0" totalsRowShown="0">
  <x:autoFilter ref="A6:P42"/>
  <x:tableColumns count="16">
    <x:tableColumn id="1" name="ID"/>
    <x:tableColumn id="2" name="Week"/>
    <x:tableColumn id="3" name="Start"/>
    <x:tableColumn id="4" name="End"/>
    <x:tableColumn id="5" name="Weekly goal"/>
    <x:tableColumn id="6" name="Front"/>
    <x:tableColumn id="7" name="Type"/>
    <x:tableColumn id="8" name="Task"/>
    <x:tableColumn id="9" name="Description"/>
    <x:tableColumn id="10" name="Definition of done"/>
    <x:tableColumn id="11" name="Priority"/>
    <x:tableColumn id="12" name="Dependencies"/>
    <x:tableColumn id="13" name="Estimated hours"/>
    <x:tableColumn id="14" name="Status"/>
    <x:tableColumn id="15" name="Owner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adeExecutionTable" displayName="KadeExecutionTable" ref="A10:O35" headerRowCount="1" totalsRowCount="0" totalsRowShown="0">
  <x:autoFilter ref="A10:O35"/>
  <x:tableColumns count="15">
    <x:tableColumn id="1" name="Execution ID"/>
    <x:tableColumn id="2" name="Week"/>
    <x:tableColumn id="3" name="Start"/>
    <x:tableColumn id="4" name="End"/>
    <x:tableColumn id="5" name="Workstream"/>
    <x:tableColumn id="6" name="Task"/>
    <x:tableColumn id="7" name="Description"/>
    <x:tableColumn id="8" name="Backlog references"/>
    <x:tableColumn id="9" name="Execution hours"/>
    <x:tableColumn id="10" name="Rate USD/h"/>
    <x:tableColumn id="11" name="Execution value USD"/>
    <x:tableColumn id="12" name="Priority"/>
    <x:tableColumn id="13" name="Status"/>
    <x:tableColumn id="14" name="Owner"/>
    <x:tableColumn id="15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149ec5aad642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0933f900994cb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7" hidden="0" customWidth="1"/>
    <x:col min="4" max="4" width="16" hidden="0" customWidth="1"/>
    <x:col min="5" max="5" width="14" hidden="0" customWidth="1"/>
    <x:col min="6" max="6" width="3" hidden="0" customWidth="1"/>
    <x:col min="7" max="7" width="24" hidden="0" customWidth="1"/>
    <x:col min="8" max="8" width="12" hidden="0" customWidth="1"/>
    <x:col min="9" max="9" width="52" hidden="0" customWidth="1"/>
    <x:col min="10" max="10" width="52" hidden="0" customWidth="1"/>
  </x:cols>
  <x:sheetData>
    <x:row r="1" ht="24" customHeight="1">
      <x:c r="A1" s="30" t="str">
        <x:v>Kade MVP — development planning</x:v>
      </x:c>
      <x:c r="B1" s="30"/>
      <x:c r="C1" s="30"/>
      <x:c r="D1" s="30"/>
      <x:c r="E1" s="30"/>
      <x:c r="F1" s="30"/>
      <x:c r="G1" s="30"/>
      <x:c r="H1" s="30"/>
      <x:c r="I1" s="31"/>
      <x:c r="J1" s="31"/>
    </x:row>
    <x:row r="2" ht="24" customHeight="1">
      <x:c r="A2" s="32" t="str">
        <x:v>Condensed backlog for the 2026 hackathon plan. Hours are rough effort estimates, not a capacity limit.</x:v>
      </x:c>
      <x:c r="B2" s="32"/>
      <x:c r="C2" s="32"/>
      <x:c r="D2" s="32"/>
      <x:c r="E2" s="32"/>
      <x:c r="F2" s="32"/>
      <x:c r="G2" s="32"/>
      <x:c r="H2" s="32"/>
      <x:c r="I2" s="31"/>
      <x:c r="J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</x:row>
    <x:row r="4">
      <x:c r="A4" s="49" t="str">
        <x:v>Metric</x:v>
      </x:c>
      <x:c r="B4" s="50" t="str">
        <x:v>Value</x:v>
      </x:c>
      <x:c r="C4" s="49" t="str">
        <x:v>80h execution view</x:v>
      </x:c>
      <x:c r="D4" s="50" t="str">
        <x:v>Value</x:v>
      </x:c>
      <x:c r="E4" s="51"/>
      <x:c r="F4" s="51"/>
      <x:c r="G4" s="51"/>
      <x:c r="H4" s="51"/>
      <x:c r="I4" s="51"/>
      <x:c r="J4" s="51"/>
    </x:row>
    <x:row r="5">
      <x:c r="A5" s="52" t="str">
        <x:v>Total tasks</x:v>
      </x:c>
      <x:c r="B5" s="53" t="n">
        <x:f>COUNTA(Backlog!$A$7:$A$42)</x:f>
        <x:v>36</x:v>
      </x:c>
      <x:c r="C5" s="52" t="str">
        <x:v>Execution rate (USD/h)</x:v>
      </x:c>
      <x:c r="D5" s="54" t="n">
        <x:v>17.5</x:v>
      </x:c>
      <x:c r="E5" s="51"/>
      <x:c r="F5" s="51"/>
      <x:c r="G5" s="51"/>
      <x:c r="H5" s="51"/>
      <x:c r="I5" s="51"/>
      <x:c r="J5" s="51"/>
    </x:row>
    <x:row r="6">
      <x:c r="A6" s="52" t="str">
        <x:v>Total hours</x:v>
      </x:c>
      <x:c r="B6" s="55" t="n">
        <x:f>SUM(Backlog!$M$7:$M$42)</x:f>
        <x:v>365</x:v>
      </x:c>
      <x:c r="C6" s="52" t="str">
        <x:v>Execution hours</x:v>
      </x:c>
      <x:c r="D6" s="54" t="n">
        <x:f>SUM('80h Plan'!$I$11:$I$35)</x:f>
        <x:v>80</x:v>
      </x:c>
      <x:c r="E6" s="51"/>
      <x:c r="F6" s="51"/>
      <x:c r="G6" s="51"/>
      <x:c r="H6" s="51"/>
      <x:c r="I6" s="51"/>
      <x:c r="J6" s="51"/>
    </x:row>
    <x:row r="7">
      <x:c r="A7" s="52" t="str">
        <x:v>UI unmock tasks</x:v>
      </x:c>
      <x:c r="B7" s="55" t="n">
        <x:f>COUNTIF(Backlog!$G$7:$G$42,"UI unmock")</x:f>
        <x:v>8</x:v>
      </x:c>
      <x:c r="C7" s="56" t="str">
        <x:v>Execution value (USD)</x:v>
      </x:c>
      <x:c r="D7" s="57" t="n">
        <x:f>SUM('80h Plan'!$K$11:$K$35)</x:f>
        <x:v>1400</x:v>
      </x:c>
      <x:c r="E7" s="51"/>
      <x:c r="F7" s="51"/>
      <x:c r="G7" s="51"/>
      <x:c r="H7" s="51"/>
      <x:c r="I7" s="51"/>
      <x:c r="J7" s="51"/>
    </x:row>
    <x:row r="8">
      <x:c r="A8" s="56" t="str">
        <x:v>UI unmock hours</x:v>
      </x:c>
      <x:c r="B8" s="58" t="n">
        <x:f>SUMIFS(Backlog!$M$7:$M$42,Backlog!$G$7:$G$42,"UI unmock")</x:f>
        <x:v>59</x:v>
      </x:c>
      <x:c r="C8" s="51"/>
      <x:c r="D8" s="51"/>
      <x:c r="E8" s="51"/>
      <x:c r="F8" s="51"/>
      <x:c r="G8" s="51"/>
      <x:c r="H8" s="51"/>
      <x:c r="I8" s="51"/>
      <x:c r="J8" s="51"/>
    </x:row>
    <x:row r="9">
      <x:c r="A9" s="51"/>
      <x:c r="B9" s="51"/>
      <x:c r="C9" s="51"/>
      <x:c r="D9" s="51"/>
      <x:c r="E9" s="51"/>
      <x:c r="F9" s="51"/>
      <x:c r="G9" s="51"/>
      <x:c r="H9" s="51"/>
      <x:c r="I9" s="51"/>
      <x:c r="J9" s="51"/>
    </x:row>
    <x:row r="10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</x:row>
    <x:row r="11">
      <x:c r="A11" s="49" t="str">
        <x:v>Week</x:v>
      </x:c>
      <x:c r="B11" s="59" t="str">
        <x:v>Start</x:v>
      </x:c>
      <x:c r="C11" s="59" t="str">
        <x:v>End</x:v>
      </x:c>
      <x:c r="D11" s="59" t="str">
        <x:v>Tasks</x:v>
      </x:c>
      <x:c r="E11" s="50" t="str">
        <x:v>Hours</x:v>
      </x:c>
      <x:c r="F11" s="51"/>
      <x:c r="G11" s="49" t="str">
        <x:v>Type</x:v>
      </x:c>
      <x:c r="H11" s="59" t="str">
        <x:v>Tasks</x:v>
      </x:c>
      <x:c r="I11" s="59" t="str">
        <x:v>Hours</x:v>
      </x:c>
      <x:c r="J11" s="50" t="str">
        <x:v>Notes</x:v>
      </x:c>
    </x:row>
    <x:row r="12">
      <x:c r="A12" s="52" t="str">
        <x:v>Week 1</x:v>
      </x:c>
      <x:c r="B12" s="60" t="n">
        <x:v>46279.5</x:v>
      </x:c>
      <x:c r="C12" s="60" t="n">
        <x:v>46285.5</x:v>
      </x:c>
      <x:c r="D12" s="61" t="n">
        <x:f>COUNTIF(Backlog!$B$7:$B$42,A12)</x:f>
        <x:v>8</x:v>
      </x:c>
      <x:c r="E12" s="55" t="n">
        <x:f>SUMIF(Backlog!$B$7:$B$42,A12,Backlog!$M$7:$M$42)</x:f>
        <x:v>49</x:v>
      </x:c>
      <x:c r="F12" s="51"/>
      <x:c r="G12" s="52" t="str">
        <x:v>Backend</x:v>
      </x:c>
      <x:c r="H12" s="61" t="n">
        <x:f>COUNTIF(Backlog!$G$7:$G$42,G12)</x:f>
        <x:v>5</x:v>
      </x:c>
      <x:c r="I12" s="61" t="n">
        <x:f>SUMIF(Backlog!$G$7:$G$42,G12,Backlog!$M$7:$M$42)</x:f>
        <x:v>45</x:v>
      </x:c>
      <x:c r="J12" s="69" t="str"/>
    </x:row>
    <x:row r="13">
      <x:c r="A13" s="52" t="str">
        <x:v>Week 2</x:v>
      </x:c>
      <x:c r="B13" s="60" t="n">
        <x:v>46286.5</x:v>
      </x:c>
      <x:c r="C13" s="60" t="n">
        <x:v>46292.5</x:v>
      </x:c>
      <x:c r="D13" s="61" t="n">
        <x:f>COUNTIF(Backlog!$B$7:$B$42,A13)</x:f>
        <x:v>10</x:v>
      </x:c>
      <x:c r="E13" s="55" t="n">
        <x:f>SUMIF(Backlog!$B$7:$B$42,A13,Backlog!$M$7:$M$42)</x:f>
        <x:v>84</x:v>
      </x:c>
      <x:c r="F13" s="51"/>
      <x:c r="G13" s="52" t="str">
        <x:v>Backend + QA</x:v>
      </x:c>
      <x:c r="H13" s="61" t="n">
        <x:f>COUNTIF(Backlog!$G$7:$G$42,G13)</x:f>
        <x:v>1</x:v>
      </x:c>
      <x:c r="I13" s="61" t="n">
        <x:f>SUMIF(Backlog!$G$7:$G$42,G13,Backlog!$M$7:$M$42)</x:f>
        <x:v>12</x:v>
      </x:c>
      <x:c r="J13" s="69" t="str"/>
    </x:row>
    <x:row r="14">
      <x:c r="A14" s="52" t="str">
        <x:v>Week 3</x:v>
      </x:c>
      <x:c r="B14" s="60" t="n">
        <x:v>46293.5</x:v>
      </x:c>
      <x:c r="C14" s="60" t="n">
        <x:v>46299.5</x:v>
      </x:c>
      <x:c r="D14" s="61" t="n">
        <x:f>COUNTIF(Backlog!$B$7:$B$42,A14)</x:f>
        <x:v>10</x:v>
      </x:c>
      <x:c r="E14" s="55" t="n">
        <x:f>SUMIF(Backlog!$B$7:$B$42,A14,Backlog!$M$7:$M$42)</x:f>
        <x:v>152</x:v>
      </x:c>
      <x:c r="F14" s="51"/>
      <x:c r="G14" s="52" t="str">
        <x:v>Backend + UI unmock</x:v>
      </x:c>
      <x:c r="H14" s="61" t="n">
        <x:f>COUNTIF(Backlog!$G$7:$G$42,G14)</x:f>
        <x:v>2</x:v>
      </x:c>
      <x:c r="I14" s="61" t="n">
        <x:f>SUMIF(Backlog!$G$7:$G$42,G14,Backlog!$M$7:$M$42)</x:f>
        <x:v>32</x:v>
      </x:c>
      <x:c r="J14" s="69" t="str"/>
    </x:row>
    <x:row r="15">
      <x:c r="A15" s="52" t="str">
        <x:v>Week 4</x:v>
      </x:c>
      <x:c r="B15" s="60" t="n">
        <x:v>46300.5</x:v>
      </x:c>
      <x:c r="C15" s="60" t="n">
        <x:v>46307.5</x:v>
      </x:c>
      <x:c r="D15" s="61" t="n">
        <x:f>COUNTIF(Backlog!$B$7:$B$42,A15)</x:f>
        <x:v>8</x:v>
      </x:c>
      <x:c r="E15" s="55" t="n">
        <x:f>SUMIF(Backlog!$B$7:$B$42,A15,Backlog!$M$7:$M$42)</x:f>
        <x:v>80</x:v>
      </x:c>
      <x:c r="F15" s="51"/>
      <x:c r="G15" s="52" t="str">
        <x:v>DevOps + Documentation</x:v>
      </x:c>
      <x:c r="H15" s="61" t="n">
        <x:f>COUNTIF(Backlog!$G$7:$G$42,G15)</x:f>
        <x:v>1</x:v>
      </x:c>
      <x:c r="I15" s="61" t="n">
        <x:f>SUMIF(Backlog!$G$7:$G$42,G15,Backlog!$M$7:$M$42)</x:f>
        <x:v>10</x:v>
      </x:c>
      <x:c r="J15" s="69" t="str"/>
    </x:row>
    <x:row r="16">
      <x:c r="A16" s="62" t="str">
        <x:v>Total</x:v>
      </x:c>
      <x:c r="B16" s="63" t="str"/>
      <x:c r="C16" s="63" t="str"/>
      <x:c r="D16" s="64" t="n">
        <x:f>SUM(D12:D15)</x:f>
        <x:v>36</x:v>
      </x:c>
      <x:c r="E16" s="65" t="n">
        <x:f>SUM(E12:E15)</x:f>
        <x:v>365</x:v>
      </x:c>
      <x:c r="F16" s="51"/>
      <x:c r="G16" s="52" t="str">
        <x:v>Foundation</x:v>
      </x:c>
      <x:c r="H16" s="61" t="n">
        <x:f>COUNTIF(Backlog!$G$7:$G$42,G16)</x:f>
        <x:v>1</x:v>
      </x:c>
      <x:c r="I16" s="61" t="n">
        <x:f>SUMIF(Backlog!$G$7:$G$42,G16,Backlog!$M$7:$M$42)</x:f>
        <x:v>6</x:v>
      </x:c>
      <x:c r="J16" s="69" t="str"/>
    </x:row>
    <x:row r="17">
      <x:c r="A17" s="51"/>
      <x:c r="B17" s="51"/>
      <x:c r="C17" s="51"/>
      <x:c r="D17" s="51"/>
      <x:c r="E17" s="51"/>
      <x:c r="F17" s="51"/>
      <x:c r="G17" s="52" t="str">
        <x:v>Integration</x:v>
      </x:c>
      <x:c r="H17" s="61" t="n">
        <x:f>COUNTIF(Backlog!$G$7:$G$42,G17)</x:f>
        <x:v>5</x:v>
      </x:c>
      <x:c r="I17" s="61" t="n">
        <x:f>SUMIF(Backlog!$G$7:$G$42,G17,Backlog!$M$7:$M$42)</x:f>
        <x:v>84</x:v>
      </x:c>
      <x:c r="J17" s="69" t="str">
        <x:v>External partner, sandbox or API may change effort.</x:v>
      </x:c>
    </x:row>
    <x:row r="18">
      <x:c r="A18" s="51"/>
      <x:c r="B18" s="51"/>
      <x:c r="C18" s="51"/>
      <x:c r="D18" s="51"/>
      <x:c r="E18" s="51"/>
      <x:c r="F18" s="51"/>
      <x:c r="G18" s="52" t="str">
        <x:v>Integration + UI unmock</x:v>
      </x:c>
      <x:c r="H18" s="61" t="n">
        <x:f>COUNTIF(Backlog!$G$7:$G$42,G18)</x:f>
        <x:v>1</x:v>
      </x:c>
      <x:c r="I18" s="61" t="n">
        <x:f>SUMIF(Backlog!$G$7:$G$42,G18,Backlog!$M$7:$M$42)</x:f>
        <x:v>16</x:v>
      </x:c>
      <x:c r="J18" s="69" t="str">
        <x:v>External partner, sandbox or API may change effort.</x:v>
      </x:c>
    </x:row>
    <x:row r="19">
      <x:c r="A19" s="66" t="str">
        <x:v>Planning notes</x:v>
      </x:c>
      <x:c r="B19" s="66" t="str"/>
      <x:c r="C19" s="66" t="str"/>
      <x:c r="D19" s="66" t="str"/>
      <x:c r="E19" s="66" t="str"/>
      <x:c r="F19" s="66" t="str"/>
      <x:c r="G19" s="52" t="str">
        <x:v>Payments</x:v>
      </x:c>
      <x:c r="H19" s="61" t="n">
        <x:f>COUNTIF(Backlog!$G$7:$G$42,G19)</x:f>
        <x:v>1</x:v>
      </x:c>
      <x:c r="I19" s="61" t="n">
        <x:f>SUMIF(Backlog!$G$7:$G$42,G19,Backlog!$M$7:$M$42)</x:f>
        <x:v>10</x:v>
      </x:c>
      <x:c r="J19" s="69" t="str">
        <x:v>External partner, sandbox or API may change effort.</x:v>
      </x:c>
    </x:row>
    <x:row r="20" ht="48" customHeight="1">
      <x:c r="A20" s="47" t="str">
        <x:v>The existing MVP UI is already mocked and navigable. UI work in this backlog means unmocking, connecting data and actions, handling states and correcting inconsistencies.</x:v>
      </x:c>
      <x:c r="B20" s="47"/>
      <x:c r="C20" s="47"/>
      <x:c r="D20" s="47"/>
      <x:c r="E20" s="47"/>
      <x:c r="F20" s="47"/>
      <x:c r="G20" s="52" t="str">
        <x:v>QA</x:v>
      </x:c>
      <x:c r="H20" s="61" t="n">
        <x:f>COUNTIF(Backlog!$G$7:$G$42,G20)</x:f>
        <x:v>6</x:v>
      </x:c>
      <x:c r="I20" s="61" t="n">
        <x:f>SUMIF(Backlog!$G$7:$G$42,G20,Backlog!$M$7:$M$42)</x:f>
        <x:v>56</x:v>
      </x:c>
      <x:c r="J20" s="69" t="str"/>
    </x:row>
    <x:row r="21" ht="48" customHeight="1">
      <x:c r="A21" s="47" t="str">
        <x:v>The calendar is fixed: feature freeze 2026-10-07, recording 2026-10-08, internal upload 2026-10-09 and final deadline 2026-10-12 23:59 PT.</x:v>
      </x:c>
      <x:c r="B21" s="47"/>
      <x:c r="C21" s="47"/>
      <x:c r="D21" s="47"/>
      <x:c r="E21" s="47"/>
      <x:c r="F21" s="47"/>
      <x:c r="G21" s="52" t="str">
        <x:v>Smart Contract</x:v>
      </x:c>
      <x:c r="H21" s="61" t="n">
        <x:f>COUNTIF(Backlog!$G$7:$G$42,G21)</x:f>
        <x:v>5</x:v>
      </x:c>
      <x:c r="I21" s="61" t="n">
        <x:f>SUMIF(Backlog!$G$7:$G$42,G21,Backlog!$M$7:$M$42)</x:f>
        <x:v>35</x:v>
      </x:c>
      <x:c r="J21" s="69" t="str"/>
    </x:row>
    <x:row r="22" ht="48" customHeight="1">
      <x:c r="A22" s="47" t="str">
        <x:v>External uncertainty is concentrated in Self, GOS, CCTP, card issuance, Morpho, Aave, Snapshot, wallet providers and paymaster behavior.</x:v>
      </x:c>
      <x:c r="B22" s="47"/>
      <x:c r="C22" s="47"/>
      <x:c r="D22" s="47"/>
      <x:c r="E22" s="47"/>
      <x:c r="F22" s="47"/>
      <x:c r="G22" s="52" t="str">
        <x:v>UI unmock</x:v>
      </x:c>
      <x:c r="H22" s="61" t="n">
        <x:f>COUNTIF(Backlog!$G$7:$G$42,G22)</x:f>
        <x:v>8</x:v>
      </x:c>
      <x:c r="I22" s="61" t="n">
        <x:f>SUMIF(Backlog!$G$7:$G$42,G22,Backlog!$M$7:$M$42)</x:f>
        <x:v>59</x:v>
      </x:c>
      <x:c r="J22" s="69" t="str"/>
    </x:row>
    <x:row r="23">
      <x:c r="A23" s="51"/>
      <x:c r="B23" s="51"/>
      <x:c r="C23" s="51"/>
      <x:c r="D23" s="51"/>
      <x:c r="E23" s="51"/>
      <x:c r="F23" s="51"/>
      <x:c r="G23" s="62" t="str">
        <x:v>Total</x:v>
      </x:c>
      <x:c r="H23" s="64" t="n">
        <x:f>SUM(H12:H22)</x:f>
        <x:v>36</x:v>
      </x:c>
      <x:c r="I23" s="64" t="n">
        <x:f>SUM(I12:I22)</x:f>
        <x:v>365</x:v>
      </x:c>
      <x:c r="J23" s="68" t="str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</x:row>
  </x:sheetData>
  <x:mergeCells>
    <x:mergeCell ref="A1:H1"/>
    <x:mergeCell ref="A2:H2"/>
    <x:mergeCell ref="A20:F20"/>
    <x:mergeCell ref="A21:F21"/>
    <x:mergeCell ref="A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1" hidden="0" customWidth="1"/>
    <x:col min="3" max="3" width="12" hidden="0" customWidth="1"/>
    <x:col min="4" max="4" width="12" hidden="0" customWidth="1"/>
    <x:col min="5" max="5" width="30" hidden="0" customWidth="1"/>
    <x:col min="6" max="6" width="18" hidden="0" customWidth="1"/>
    <x:col min="7" max="7" width="20" hidden="0" customWidth="1"/>
    <x:col min="8" max="8" width="34" hidden="0" customWidth="1"/>
    <x:col min="9" max="9" width="58" hidden="0" customWidth="1"/>
    <x:col min="10" max="10" width="58" hidden="0" customWidth="1"/>
    <x:col min="11" max="11" width="12" hidden="0" customWidth="1"/>
    <x:col min="12" max="12" width="22" hidden="0" customWidth="1"/>
    <x:col min="13" max="13" width="14" hidden="0" customWidth="1"/>
    <x:col min="14" max="14" width="14" hidden="0" customWidth="1"/>
    <x:col min="15" max="15" width="14" hidden="0" customWidth="1"/>
    <x:col min="16" max="16" width="48" hidden="0" customWidth="1"/>
  </x:cols>
  <x:sheetData>
    <x:row r="1" ht="24" customHeight="1">
      <x:c r="A1" s="2" t="str">
        <x:v>Kade MVP — condensed development backlog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3" t="str">
        <x:v>One row per meaningful work package. Related setup and wiring tasks are intentionally merged.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0" t="str">
        <x:v>Legend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</x:row>
    <x:row r="5">
      <x:c r="A5" s="71" t="str">
        <x:v>Initial status: Not started</x:v>
      </x:c>
      <x:c r="B5" s="71" t="str">
        <x:v>Priorities: Critical / High / Medium / Low</x:v>
      </x:c>
      <x:c r="C5" s="71" t="str">
        <x:v>Types: Foundation, Backend, UI unmock, Smart Contract, Integration, QA, DevOps</x:v>
      </x:c>
      <x:c r="D5" s="71" t="str"/>
      <x:c r="E5" s="71" t="str"/>
      <x:c r="F5" s="71" t="str"/>
      <x:c r="G5" s="71" t="str"/>
      <x:c r="H5" s="71" t="str"/>
      <x:c r="I5" s="71" t="str"/>
      <x:c r="J5" s="71" t="str"/>
      <x:c r="K5" s="71" t="str"/>
      <x:c r="L5" s="71" t="str"/>
      <x:c r="M5" s="71" t="str"/>
      <x:c r="N5" s="71" t="str"/>
      <x:c r="O5" s="71" t="str"/>
      <x:c r="P5" s="71" t="str"/>
    </x:row>
    <x:row r="6" ht="34" customHeight="1">
      <x:c r="A6" s="76" t="str">
        <x:v>ID</x:v>
      </x:c>
      <x:c r="B6" s="76" t="str">
        <x:v>Week</x:v>
      </x:c>
      <x:c r="C6" s="76" t="str">
        <x:v>Start</x:v>
      </x:c>
      <x:c r="D6" s="76" t="str">
        <x:v>End</x:v>
      </x:c>
      <x:c r="E6" s="76" t="str">
        <x:v>Weekly goal</x:v>
      </x:c>
      <x:c r="F6" s="76" t="str">
        <x:v>Front</x:v>
      </x:c>
      <x:c r="G6" s="76" t="str">
        <x:v>Type</x:v>
      </x:c>
      <x:c r="H6" s="76" t="str">
        <x:v>Task</x:v>
      </x:c>
      <x:c r="I6" s="76" t="str">
        <x:v>Description</x:v>
      </x:c>
      <x:c r="J6" s="76" t="str">
        <x:v>Definition of done</x:v>
      </x:c>
      <x:c r="K6" s="76" t="str">
        <x:v>Priority</x:v>
      </x:c>
      <x:c r="L6" s="76" t="str">
        <x:v>Dependencies</x:v>
      </x:c>
      <x:c r="M6" s="76" t="str">
        <x:v>Estimated hours</x:v>
      </x:c>
      <x:c r="N6" s="76" t="str">
        <x:v>Status</x:v>
      </x:c>
      <x:c r="O6" s="76" t="str">
        <x:v>Owner</x:v>
      </x:c>
      <x:c r="P6" s="76" t="str">
        <x:v>Notes</x:v>
      </x:c>
    </x:row>
    <x:row r="7" ht="34" customHeight="1">
      <x:c r="A7" s="83" t="str">
        <x:v>KAD-001</x:v>
      </x:c>
      <x:c r="B7" s="77" t="str">
        <x:v>Week 1</x:v>
      </x:c>
      <x:c r="C7" s="78" t="n">
        <x:v>46279.5</x:v>
      </x:c>
      <x:c r="D7" s="78" t="n">
        <x:v>46285.5</x:v>
      </x:c>
      <x:c r="E7" s="77" t="str">
        <x:v>Account + pre-registration on mainnet</x:v>
      </x:c>
      <x:c r="F7" s="77" t="str">
        <x:v>Project setup</x:v>
      </x:c>
      <x:c r="G7" s="77" t="str">
        <x:v>Foundation</x:v>
      </x:c>
      <x:c r="H7" s="77" t="str">
        <x:v>Set up repository, README, providers, configuration and Supabase environments</x:v>
      </x:c>
      <x:c r="I7" s="77" t="str">
        <x:v>Create the public monorepo, README shell, license/disclosure, provider decisions, environment variables and development/demo environments.</x:v>
      </x:c>
      <x:c r="J7" s="77" t="str">
        <x:v>Repository and environments are usable, documented and ready for feature work.</x:v>
      </x:c>
      <x:c r="K7" s="77" t="str">
        <x:v>Critical</x:v>
      </x:c>
      <x:c r="L7" s="77" t="str"/>
      <x:c r="M7" s="85" t="n">
        <x:v>6</x:v>
      </x:c>
      <x:c r="N7" s="77" t="str">
        <x:v>Not started</x:v>
      </x:c>
      <x:c r="O7" s="77" t="str">
        <x:v>Unassigned</x:v>
      </x:c>
      <x:c r="P7" s="77" t="str">
        <x:v>The UI already exists; this covers project wiring only.</x:v>
      </x:c>
    </x:row>
    <x:row r="8" ht="34" customHeight="1">
      <x:c r="A8" s="83" t="str">
        <x:v>KAD-002</x:v>
      </x:c>
      <x:c r="B8" s="77" t="str">
        <x:v>Week 1</x:v>
      </x:c>
      <x:c r="C8" s="78" t="n">
        <x:v>46279.5</x:v>
      </x:c>
      <x:c r="D8" s="78" t="n">
        <x:v>46285.5</x:v>
      </x:c>
      <x:c r="E8" s="77" t="str">
        <x:v>Account + pre-registration on mainnet</x:v>
      </x:c>
      <x:c r="F8" s="77" t="str">
        <x:v>Configuration</x:v>
      </x:c>
      <x:c r="G8" s="77" t="str">
        <x:v>Backend</x:v>
      </x:c>
      <x:c r="H8" s="77" t="str">
        <x:v>Seed chains and fee_schedule</x:v>
      </x:c>
      <x:c r="I8" s="77" t="str">
        <x:v>Seed Ethereum, Arbitrum and Base addresses, token metadata and demo/production fee configuration.</x:v>
      </x:c>
      <x:c r="J8" s="77" t="str">
        <x:v>Three chains and all fee values are editable from configuration.</x:v>
      </x:c>
      <x:c r="K8" s="77" t="str">
        <x:v>Critical</x:v>
      </x:c>
      <x:c r="L8" s="77" t="str">
        <x:v>KAD-001</x:v>
      </x:c>
      <x:c r="M8" s="85" t="n">
        <x:v>2</x:v>
      </x:c>
      <x:c r="N8" s="77" t="str">
        <x:v>Not started</x:v>
      </x:c>
      <x:c r="O8" s="77" t="str">
        <x:v>Unassigned</x:v>
      </x:c>
      <x:c r="P8" s="77" t="str"/>
    </x:row>
    <x:row r="9" ht="34" customHeight="1">
      <x:c r="A9" s="83" t="str">
        <x:v>KAD-003</x:v>
      </x:c>
      <x:c r="B9" s="77" t="str">
        <x:v>Week 1</x:v>
      </x:c>
      <x:c r="C9" s="78" t="n">
        <x:v>46279.5</x:v>
      </x:c>
      <x:c r="D9" s="78" t="n">
        <x:v>46285.5</x:v>
      </x:c>
      <x:c r="E9" s="77" t="str">
        <x:v>Account + pre-registration on mainnet</x:v>
      </x:c>
      <x:c r="F9" s="77" t="str">
        <x:v>Frontend</x:v>
      </x:c>
      <x:c r="G9" s="77" t="str">
        <x:v>UI unmock</x:v>
      </x:c>
      <x:c r="H9" s="77" t="str">
        <x:v>Connect shell, routes, Auth and passkey</x:v>
      </x:c>
      <x:c r="I9" s="77" t="str">
        <x:v>Connect the existing sidebar and routes to real session state, protected routes, sign-up, login and logout.</x:v>
      </x:c>
      <x:c r="J9" s="77" t="str">
        <x:v>Unauthenticated routes redirect and a passkey session persists across reloads.</x:v>
      </x:c>
      <x:c r="K9" s="77" t="str">
        <x:v>Critical</x:v>
      </x:c>
      <x:c r="L9" s="77" t="str">
        <x:v>KAD-001</x:v>
      </x:c>
      <x:c r="M9" s="85" t="n">
        <x:v>8</x:v>
      </x:c>
      <x:c r="N9" s="77" t="str">
        <x:v>Not started</x:v>
      </x:c>
      <x:c r="O9" s="77" t="str">
        <x:v>Unassigned</x:v>
      </x:c>
      <x:c r="P9" s="77" t="str">
        <x:v>No new visual screens.</x:v>
      </x:c>
    </x:row>
    <x:row r="10" ht="34" customHeight="1">
      <x:c r="A10" s="83" t="str">
        <x:v>KAD-004</x:v>
      </x:c>
      <x:c r="B10" s="77" t="str">
        <x:v>Week 1</x:v>
      </x:c>
      <x:c r="C10" s="78" t="n">
        <x:v>46279.5</x:v>
      </x:c>
      <x:c r="D10" s="78" t="n">
        <x:v>46285.5</x:v>
      </x:c>
      <x:c r="E10" s="77" t="str">
        <x:v>Account + pre-registration on mainnet</x:v>
      </x:c>
      <x:c r="F10" s="77" t="str">
        <x:v>Accounts</x:v>
      </x:c>
      <x:c r="G10" s="77" t="str">
        <x:v>Smart Contract</x:v>
      </x:c>
      <x:c r="H10" s="77" t="str">
        <x:v>Create Safe and reserve its address on L2</x:v>
      </x:c>
      <x:c r="I10" s="77" t="str">
        <x:v>Create the resident Safe on Ethereum and derive/reserve the same address on Arbitrum and Base.</x:v>
      </x:c>
      <x:c r="J10" s="77" t="str">
        <x:v>Safe address is stored against the profile and visible in the existing account flow.</x:v>
      </x:c>
      <x:c r="K10" s="77" t="str">
        <x:v>Critical</x:v>
      </x:c>
      <x:c r="L10" s="77" t="str">
        <x:v>KAD-003</x:v>
      </x:c>
      <x:c r="M10" s="85" t="n">
        <x:v>6</x:v>
      </x:c>
      <x:c r="N10" s="77" t="str">
        <x:v>Not started</x:v>
      </x:c>
      <x:c r="O10" s="77" t="str">
        <x:v>Unassigned</x:v>
      </x:c>
      <x:c r="P10" s="77" t="str"/>
    </x:row>
    <x:row r="11" ht="34" customHeight="1">
      <x:c r="A11" s="83" t="str">
        <x:v>KAD-005</x:v>
      </x:c>
      <x:c r="B11" s="77" t="str">
        <x:v>Week 1</x:v>
      </x:c>
      <x:c r="C11" s="78" t="n">
        <x:v>46279.5</x:v>
      </x:c>
      <x:c r="D11" s="78" t="n">
        <x:v>46285.5</x:v>
      </x:c>
      <x:c r="E11" s="77" t="str">
        <x:v>Account + pre-registration on mainnet</x:v>
      </x:c>
      <x:c r="F11" s="77" t="str">
        <x:v>Onboarding</x:v>
      </x:c>
      <x:c r="G11" s="77" t="str">
        <x:v>UI unmock</x:v>
      </x:c>
      <x:c r="H11" s="77" t="str">
        <x:v>Connect profile and household onboarding</x:v>
      </x:c>
      <x:c r="I11" s="77" t="str">
        <x:v>Wire the existing profile, citizenship, residence, tier and household forms to persistence and validation.</x:v>
      </x:c>
      <x:c r="J11" s="77" t="str">
        <x:v>Steps 1–2 save, reload and validate real data.</x:v>
      </x:c>
      <x:c r="K11" s="77" t="str">
        <x:v>Critical</x:v>
      </x:c>
      <x:c r="L11" s="77" t="str">
        <x:v>KAD-002,KAD-003</x:v>
      </x:c>
      <x:c r="M11" s="85" t="n">
        <x:v>6</x:v>
      </x:c>
      <x:c r="N11" s="77" t="str">
        <x:v>Not started</x:v>
      </x:c>
      <x:c r="O11" s="77" t="str">
        <x:v>Unassigned</x:v>
      </x:c>
      <x:c r="P11" s="77" t="str"/>
    </x:row>
    <x:row r="12" ht="34" customHeight="1">
      <x:c r="A12" s="83" t="str">
        <x:v>KAD-006</x:v>
      </x:c>
      <x:c r="B12" s="77" t="str">
        <x:v>Week 1</x:v>
      </x:c>
      <x:c r="C12" s="78" t="n">
        <x:v>46279.5</x:v>
      </x:c>
      <x:c r="D12" s="78" t="n">
        <x:v>46285.5</x:v>
      </x:c>
      <x:c r="E12" s="77" t="str">
        <x:v>Account + pre-registration on mainnet</x:v>
      </x:c>
      <x:c r="F12" s="77" t="str">
        <x:v>Onboarding</x:v>
      </x:c>
      <x:c r="G12" s="77" t="str">
        <x:v>Backend</x:v>
      </x:c>
      <x:c r="H12" s="77" t="str">
        <x:v>Persist applicant data and calculate the pre-approval fee</x:v>
      </x:c>
      <x:c r="I12" s="77" t="str">
        <x:v>Implement the profile, residence, household and fee calculation queries using the configured schedule.</x:v>
      </x:c>
      <x:c r="J12" s="77" t="str">
        <x:v>The same calculated fee appears in onboarding and payment.</x:v>
      </x:c>
      <x:c r="K12" s="77" t="str">
        <x:v>Critical</x:v>
      </x:c>
      <x:c r="L12" s="77" t="str">
        <x:v>KAD-002,KAD-005</x:v>
      </x:c>
      <x:c r="M12" s="85" t="n">
        <x:v>7</x:v>
      </x:c>
      <x:c r="N12" s="77" t="str">
        <x:v>Not started</x:v>
      </x:c>
      <x:c r="O12" s="77" t="str">
        <x:v>Unassigned</x:v>
      </x:c>
      <x:c r="P12" s="77" t="str"/>
    </x:row>
    <x:row r="13" ht="34" customHeight="1">
      <x:c r="A13" s="83" t="str">
        <x:v>KAD-007</x:v>
      </x:c>
      <x:c r="B13" s="77" t="str">
        <x:v>Week 1</x:v>
      </x:c>
      <x:c r="C13" s="78" t="n">
        <x:v>46279.5</x:v>
      </x:c>
      <x:c r="D13" s="78" t="n">
        <x:v>46285.5</x:v>
      </x:c>
      <x:c r="E13" s="77" t="str">
        <x:v>Account + pre-registration on mainnet</x:v>
      </x:c>
      <x:c r="F13" s="77" t="str">
        <x:v>Attestations</x:v>
      </x:c>
      <x:c r="G13" s="77" t="str">
        <x:v>Smart Contract</x:v>
      </x:c>
      <x:c r="H13" s="77" t="str">
        <x:v>Define and register EAS schemas</x:v>
      </x:c>
      <x:c r="I13" s="77" t="str">
        <x:v>Define and register fee, application, KYC and review schemas on Ethereum and store their UIDs.</x:v>
      </x:c>
      <x:c r="J13" s="77" t="str">
        <x:v>Schemas and UIDs are versioned, documented and available to the app.</x:v>
      </x:c>
      <x:c r="K13" s="77" t="str">
        <x:v>Critical</x:v>
      </x:c>
      <x:c r="L13" s="77" t="str">
        <x:v>KAD-001</x:v>
      </x:c>
      <x:c r="M13" s="85" t="n">
        <x:v>4</x:v>
      </x:c>
      <x:c r="N13" s="77" t="str">
        <x:v>Not started</x:v>
      </x:c>
      <x:c r="O13" s="77" t="str">
        <x:v>Unassigned</x:v>
      </x:c>
      <x:c r="P13" s="77" t="str"/>
    </x:row>
    <x:row r="14" ht="34" customHeight="1">
      <x:c r="A14" s="83" t="str">
        <x:v>KAD-008</x:v>
      </x:c>
      <x:c r="B14" s="77" t="str">
        <x:v>Week 1</x:v>
      </x:c>
      <x:c r="C14" s="78" t="n">
        <x:v>46279.5</x:v>
      </x:c>
      <x:c r="D14" s="78" t="n">
        <x:v>46285.5</x:v>
      </x:c>
      <x:c r="E14" s="77" t="str">
        <x:v>Account + pre-registration on mainnet</x:v>
      </x:c>
      <x:c r="F14" s="77" t="str">
        <x:v>Vault</x:v>
      </x:c>
      <x:c r="G14" s="77" t="str">
        <x:v>Smart Contract</x:v>
      </x:c>
      <x:c r="H14" s="77" t="str">
        <x:v>Implement and test the KadeLock MVP</x:v>
      </x:c>
      <x:c r="I14" s="77" t="str">
        <x:v>Implement lock/unlock, allowlists, roles and core withdrawal rules with Foundry tests.</x:v>
      </x:c>
      <x:c r="J14" s="77" t="str">
        <x:v>Contract compiles and critical rules pass tests.</x:v>
      </x:c>
      <x:c r="K14" s="77" t="str">
        <x:v>Critical</x:v>
      </x:c>
      <x:c r="L14" s="77" t="str">
        <x:v>KAD-001</x:v>
      </x:c>
      <x:c r="M14" s="85" t="n">
        <x:v>10</x:v>
      </x:c>
      <x:c r="N14" s="77" t="str">
        <x:v>Not started</x:v>
      </x:c>
      <x:c r="O14" s="77" t="str">
        <x:v>Unassigned</x:v>
      </x:c>
      <x:c r="P14" s="77" t="str"/>
    </x:row>
    <x:row r="15" ht="34" customHeight="1">
      <x:c r="A15" s="83" t="str">
        <x:v>KAD-009</x:v>
      </x:c>
      <x:c r="B15" s="77" t="str">
        <x:v>Week 2</x:v>
      </x:c>
      <x:c r="C15" s="78" t="n">
        <x:v>46286.5</x:v>
      </x:c>
      <x:c r="D15" s="78" t="n">
        <x:v>46292.5</x:v>
      </x:c>
      <x:c r="E15" s="77" t="str">
        <x:v>Steps 3–4 end to end; vaults on three chains</x:v>
      </x:c>
      <x:c r="F15" s="77" t="str">
        <x:v>Wallets</x:v>
      </x:c>
      <x:c r="G15" s="77" t="str">
        <x:v>Integration</x:v>
      </x:c>
      <x:c r="H15" s="77" t="str">
        <x:v>Connect wallets and verify ownership</x:v>
      </x:c>
      <x:c r="I15" s="77" t="str">
        <x:v>Connect extension wallets, WalletConnect and the agreed hardware-wallet path; implement SIWE.</x:v>
      </x:c>
      <x:c r="J15" s="77" t="str">
        <x:v>Wallet connection, signature and disconnect states work without stale sessions.</x:v>
      </x:c>
      <x:c r="K15" s="77" t="str">
        <x:v>Critical</x:v>
      </x:c>
      <x:c r="L15" s="77" t="str">
        <x:v>KAD-003,KAD-005</x:v>
      </x:c>
      <x:c r="M15" s="85" t="n">
        <x:v>12</x:v>
      </x:c>
      <x:c r="N15" s="77" t="str">
        <x:v>Not started</x:v>
      </x:c>
      <x:c r="O15" s="77" t="str">
        <x:v>Unassigned</x:v>
      </x:c>
      <x:c r="P15" s="77" t="str">
        <x:v>Bitcoin xpub remains a separate optional path if retained.</x:v>
      </x:c>
    </x:row>
    <x:row r="16" ht="34" customHeight="1">
      <x:c r="A16" s="83" t="str">
        <x:v>KAD-010</x:v>
      </x:c>
      <x:c r="B16" s="77" t="str">
        <x:v>Week 2</x:v>
      </x:c>
      <x:c r="C16" s="78" t="n">
        <x:v>46286.5</x:v>
      </x:c>
      <x:c r="D16" s="78" t="n">
        <x:v>46292.5</x:v>
      </x:c>
      <x:c r="E16" s="77" t="str">
        <x:v>Steps 3–4 end to end; vaults on three chains</x:v>
      </x:c>
      <x:c r="F16" s="77" t="str">
        <x:v>Wealth</x:v>
      </x:c>
      <x:c r="G16" s="77" t="str">
        <x:v>Backend</x:v>
      </x:c>
      <x:c r="H16" s="77" t="str">
        <x:v>Read multichain balances and store wealth snapshots</x:v>
      </x:c>
      <x:c r="I16" s="77" t="str">
        <x:v>Read supported assets on Ethereum, Arbitrum and Base, normalize values and persist timestamped snapshots.</x:v>
      </x:c>
      <x:c r="J16" s="77" t="str">
        <x:v>Balances are auditable by wallet and chain with clear RPC failure states.</x:v>
      </x:c>
      <x:c r="K16" s="77" t="str">
        <x:v>Critical</x:v>
      </x:c>
      <x:c r="L16" s="77" t="str">
        <x:v>KAD-010</x:v>
      </x:c>
      <x:c r="M16" s="85" t="n">
        <x:v>10</x:v>
      </x:c>
      <x:c r="N16" s="77" t="str">
        <x:v>Not started</x:v>
      </x:c>
      <x:c r="O16" s="77" t="str">
        <x:v>Unassigned</x:v>
      </x:c>
      <x:c r="P16" s="77" t="str"/>
    </x:row>
    <x:row r="17" ht="34" customHeight="1">
      <x:c r="A17" s="83" t="str">
        <x:v>KAD-011</x:v>
      </x:c>
      <x:c r="B17" s="77" t="str">
        <x:v>Week 2</x:v>
      </x:c>
      <x:c r="C17" s="78" t="n">
        <x:v>46286.5</x:v>
      </x:c>
      <x:c r="D17" s="78" t="n">
        <x:v>46292.5</x:v>
      </x:c>
      <x:c r="E17" s="77" t="str">
        <x:v>Steps 3–4 end to end; vaults on three chains</x:v>
      </x:c>
      <x:c r="F17" s="77" t="str">
        <x:v>Wealth</x:v>
      </x:c>
      <x:c r="G17" s="77" t="str">
        <x:v>UI unmock</x:v>
      </x:c>
      <x:c r="H17" s="77" t="str">
        <x:v>Connect Proof of Wealth to real balances</x:v>
      </x:c>
      <x:c r="I17" s="77" t="str">
        <x:v>Replace fixtures in the existing screen with wallet state, snapshots, thresholds and real Continue gating.</x:v>
      </x:c>
      <x:c r="J17" s="77" t="str">
        <x:v>The displayed total matches the stored snapshot and cannot advance without a signed wallet.</x:v>
      </x:c>
      <x:c r="K17" s="77" t="str">
        <x:v>Critical</x:v>
      </x:c>
      <x:c r="L17" s="77" t="str">
        <x:v>KAD-010,KAD-011</x:v>
      </x:c>
      <x:c r="M17" s="85" t="n">
        <x:v>5</x:v>
      </x:c>
      <x:c r="N17" s="77" t="str">
        <x:v>Not started</x:v>
      </x:c>
      <x:c r="O17" s="77" t="str">
        <x:v>Unassigned</x:v>
      </x:c>
      <x:c r="P17" s="77" t="str">
        <x:v>Fix the current mock inconsistency between wallet totals and Holdings.</x:v>
      </x:c>
    </x:row>
    <x:row r="18" ht="34" customHeight="1">
      <x:c r="A18" s="83" t="str">
        <x:v>KAD-012</x:v>
      </x:c>
      <x:c r="B18" s="77" t="str">
        <x:v>Week 2</x:v>
      </x:c>
      <x:c r="C18" s="78" t="n">
        <x:v>46286.5</x:v>
      </x:c>
      <x:c r="D18" s="78" t="n">
        <x:v>46292.5</x:v>
      </x:c>
      <x:c r="E18" s="77" t="str">
        <x:v>Steps 3–4 end to end; vaults on three chains</x:v>
      </x:c>
      <x:c r="F18" s="77" t="str">
        <x:v>Payments</x:v>
      </x:c>
      <x:c r="G18" s="77" t="str">
        <x:v>Backend</x:v>
      </x:c>
      <x:c r="H18" s="77" t="str">
        <x:v>Implement the pre-approval UserOp and paymaster flow</x:v>
      </x:c>
      <x:c r="I18" s="77" t="str">
        <x:v>Build the Ethereum UserOp, paymaster policy and Treasury Safe transfer using the configured demo fee.</x:v>
      </x:c>
      <x:c r="J18" s="77" t="str">
        <x:v>A valid UserOp is created with the correct amount, chain and sponsor policy.</x:v>
      </x:c>
      <x:c r="K18" s="77" t="str">
        <x:v>Critical</x:v>
      </x:c>
      <x:c r="L18" s="77" t="str">
        <x:v>KAD-006,KAD-012</x:v>
      </x:c>
      <x:c r="M18" s="85" t="n">
        <x:v>10</x:v>
      </x:c>
      <x:c r="N18" s="77" t="str">
        <x:v>Not started</x:v>
      </x:c>
      <x:c r="O18" s="77" t="str">
        <x:v>Unassigned</x:v>
      </x:c>
      <x:c r="P18" s="77" t="str"/>
    </x:row>
    <x:row r="19" ht="34" customHeight="1">
      <x:c r="A19" s="83" t="str">
        <x:v>KAD-013</x:v>
      </x:c>
      <x:c r="B19" s="77" t="str">
        <x:v>Week 2</x:v>
      </x:c>
      <x:c r="C19" s="78" t="n">
        <x:v>46286.5</x:v>
      </x:c>
      <x:c r="D19" s="78" t="n">
        <x:v>46292.5</x:v>
      </x:c>
      <x:c r="E19" s="77" t="str">
        <x:v>Steps 3–4 end to end; vaults on three chains</x:v>
      </x:c>
      <x:c r="F19" s="77" t="str">
        <x:v>Payments</x:v>
      </x:c>
      <x:c r="G19" s="77" t="str">
        <x:v>Smart Contract</x:v>
      </x:c>
      <x:c r="H19" s="77" t="str">
        <x:v>Transfer fee and issue fee/application attestations</x:v>
      </x:c>
      <x:c r="I19" s="77" t="str">
        <x:v>Execute the USDC transfer and emit kade.fee.v1 and kade.application.v1 with linked references.</x:v>
      </x:c>
      <x:c r="J19" s="77" t="str">
        <x:v>Transaction and both UIDs are persisted and verifiable.</x:v>
      </x:c>
      <x:c r="K19" s="77" t="str">
        <x:v>Critical</x:v>
      </x:c>
      <x:c r="L19" s="77" t="str">
        <x:v>KAD-015,KAD-007</x:v>
      </x:c>
      <x:c r="M19" s="85" t="n">
        <x:v>10</x:v>
      </x:c>
      <x:c r="N19" s="77" t="str">
        <x:v>Not started</x:v>
      </x:c>
      <x:c r="O19" s="77" t="str">
        <x:v>Unassigned</x:v>
      </x:c>
      <x:c r="P19" s="77" t="str"/>
    </x:row>
    <x:row r="20" ht="34" customHeight="1">
      <x:c r="A20" s="83" t="str">
        <x:v>KAD-014</x:v>
      </x:c>
      <x:c r="B20" s="77" t="str">
        <x:v>Week 2</x:v>
      </x:c>
      <x:c r="C20" s="78" t="n">
        <x:v>46286.5</x:v>
      </x:c>
      <x:c r="D20" s="78" t="n">
        <x:v>46292.5</x:v>
      </x:c>
      <x:c r="E20" s="77" t="str">
        <x:v>Steps 3–4 end to end; vaults on three chains</x:v>
      </x:c>
      <x:c r="F20" s="77" t="str">
        <x:v>Payments</x:v>
      </x:c>
      <x:c r="G20" s="77" t="str">
        <x:v>UI unmock</x:v>
      </x:c>
      <x:c r="H20" s="77" t="str">
        <x:v>Connect payment confirmation and receipts</x:v>
      </x:c>
      <x:c r="I20" s="77" t="str">
        <x:v>Replace the payment preview with pending, confirmed and failed states, receipt data and explorer links.</x:v>
      </x:c>
      <x:c r="J20" s="77" t="str">
        <x:v>The existing payment screen reflects the actual transaction and attestations.</x:v>
      </x:c>
      <x:c r="K20" s="77" t="str">
        <x:v>Critical</x:v>
      </x:c>
      <x:c r="L20" s="77" t="str">
        <x:v>KAD-016</x:v>
      </x:c>
      <x:c r="M20" s="85" t="n">
        <x:v>5</x:v>
      </x:c>
      <x:c r="N20" s="77" t="str">
        <x:v>Not started</x:v>
      </x:c>
      <x:c r="O20" s="77" t="str">
        <x:v>Unassigned</x:v>
      </x:c>
      <x:c r="P20" s="77" t="str"/>
    </x:row>
    <x:row r="21" ht="34" customHeight="1">
      <x:c r="A21" s="83" t="str">
        <x:v>KAD-015</x:v>
      </x:c>
      <x:c r="B21" s="77" t="str">
        <x:v>Week 2</x:v>
      </x:c>
      <x:c r="C21" s="78" t="n">
        <x:v>46286.5</x:v>
      </x:c>
      <x:c r="D21" s="78" t="n">
        <x:v>46292.5</x:v>
      </x:c>
      <x:c r="E21" s="77" t="str">
        <x:v>Steps 3–4 end to end; vaults on three chains</x:v>
      </x:c>
      <x:c r="F21" s="77" t="str">
        <x:v>Vault</x:v>
      </x:c>
      <x:c r="G21" s="77" t="str">
        <x:v>Smart Contract</x:v>
      </x:c>
      <x:c r="H21" s="77" t="str">
        <x:v>Deploy KadeLock on all three chains</x:v>
      </x:c>
      <x:c r="I21" s="77" t="str">
        <x:v>Deploy the tested bytecode to Ethereum, Arbitrum and Base and register addresses.</x:v>
      </x:c>
      <x:c r="J21" s="77" t="str">
        <x:v>All three deployments are recorded and discoverable from configuration.</x:v>
      </x:c>
      <x:c r="K21" s="77" t="str">
        <x:v>Critical</x:v>
      </x:c>
      <x:c r="L21" s="77" t="str">
        <x:v>KAD-009</x:v>
      </x:c>
      <x:c r="M21" s="85" t="n">
        <x:v>5</x:v>
      </x:c>
      <x:c r="N21" s="77" t="str">
        <x:v>Not started</x:v>
      </x:c>
      <x:c r="O21" s="77" t="str">
        <x:v>Unassigned</x:v>
      </x:c>
      <x:c r="P21" s="77" t="str"/>
    </x:row>
    <x:row r="22" ht="34" customHeight="1">
      <x:c r="A22" s="83" t="str">
        <x:v>KAD-016</x:v>
      </x:c>
      <x:c r="B22" s="77" t="str">
        <x:v>Week 2</x:v>
      </x:c>
      <x:c r="C22" s="78" t="n">
        <x:v>46286.5</x:v>
      </x:c>
      <x:c r="D22" s="78" t="n">
        <x:v>46292.5</x:v>
      </x:c>
      <x:c r="E22" s="77" t="str">
        <x:v>Steps 3–4 end to end; vaults on three chains</x:v>
      </x:c>
      <x:c r="F22" s="77" t="str">
        <x:v>Vault</x:v>
      </x:c>
      <x:c r="G22" s="77" t="str">
        <x:v>Backend</x:v>
      </x:c>
      <x:c r="H22" s="77" t="str">
        <x:v>Implement vault deposits, indexer and qualified total</x:v>
      </x:c>
      <x:c r="I22" s="77" t="str">
        <x:v>Index vault events, store balances by chain and calculate the qualified total across networks.</x:v>
      </x:c>
      <x:c r="J22" s="77" t="str">
        <x:v>Deposits and totals update from chain data and remain traceable.</x:v>
      </x:c>
      <x:c r="K22" s="77" t="str">
        <x:v>Critical</x:v>
      </x:c>
      <x:c r="L22" s="77" t="str">
        <x:v>KAD-018</x:v>
      </x:c>
      <x:c r="M22" s="85" t="n">
        <x:v>16</x:v>
      </x:c>
      <x:c r="N22" s="77" t="str">
        <x:v>Not started</x:v>
      </x:c>
      <x:c r="O22" s="77" t="str">
        <x:v>Unassigned</x:v>
      </x:c>
      <x:c r="P22" s="77" t="str"/>
    </x:row>
    <x:row r="23" ht="34" customHeight="1">
      <x:c r="A23" s="83" t="str">
        <x:v>KAD-017</x:v>
      </x:c>
      <x:c r="B23" s="77" t="str">
        <x:v>Week 2</x:v>
      </x:c>
      <x:c r="C23" s="78" t="n">
        <x:v>46286.5</x:v>
      </x:c>
      <x:c r="D23" s="78" t="n">
        <x:v>46292.5</x:v>
      </x:c>
      <x:c r="E23" s="77" t="str">
        <x:v>Steps 3–4 end to end; vaults on three chains</x:v>
      </x:c>
      <x:c r="F23" s="77" t="str">
        <x:v>Overview</x:v>
      </x:c>
      <x:c r="G23" s="77" t="str">
        <x:v>UI unmock</x:v>
      </x:c>
      <x:c r="H23" s="77" t="str">
        <x:v>Connect pre-approval, attestation and vault status</x:v>
      </x:c>
      <x:c r="I23" s="77" t="str">
        <x:v>Wire Overview and existing status components to applications, receipts and indexer data.</x:v>
      </x:c>
      <x:c r="J23" s="77" t="str">
        <x:v>Reloading the app preserves the correct pre-approved and vault states.</x:v>
      </x:c>
      <x:c r="K23" s="77" t="str">
        <x:v>High</x:v>
      </x:c>
      <x:c r="L23" s="77" t="str">
        <x:v>KAD-017,KAD-019</x:v>
      </x:c>
      <x:c r="M23" s="85" t="n">
        <x:v>5</x:v>
      </x:c>
      <x:c r="N23" s="77" t="str">
        <x:v>Not started</x:v>
      </x:c>
      <x:c r="O23" s="77" t="str">
        <x:v>Unassigned</x:v>
      </x:c>
      <x:c r="P23" s="77" t="str"/>
    </x:row>
    <x:row r="24" ht="34" customHeight="1">
      <x:c r="A24" s="83" t="str">
        <x:v>KAD-018</x:v>
      </x:c>
      <x:c r="B24" s="77" t="str">
        <x:v>Week 2</x:v>
      </x:c>
      <x:c r="C24" s="78" t="n">
        <x:v>46286.5</x:v>
      </x:c>
      <x:c r="D24" s="78" t="n">
        <x:v>46292.5</x:v>
      </x:c>
      <x:c r="E24" s="77" t="str">
        <x:v>Steps 3–4 end to end; vaults on three chains</x:v>
      </x:c>
      <x:c r="F24" s="77" t="str">
        <x:v>Reliability</x:v>
      </x:c>
      <x:c r="G24" s="77" t="str">
        <x:v>QA</x:v>
      </x:c>
      <x:c r="H24" s="77" t="str">
        <x:v>Handle wallet, RPC and transaction failures</x:v>
      </x:c>
      <x:c r="I24" s="77" t="str">
        <x:v>Add visible recovery paths for rejected signatures, wrong network, unavailable RPC and failed transactions.</x:v>
      </x:c>
      <x:c r="J24" s="77" t="str">
        <x:v>Failures do not leave the UI in a false success state.</x:v>
      </x:c>
      <x:c r="K24" s="77" t="str">
        <x:v>High</x:v>
      </x:c>
      <x:c r="L24" s="77" t="str">
        <x:v>KAD-010,KAD-015</x:v>
      </x:c>
      <x:c r="M24" s="85" t="n">
        <x:v>6</x:v>
      </x:c>
      <x:c r="N24" s="77" t="str">
        <x:v>Not started</x:v>
      </x:c>
      <x:c r="O24" s="77" t="str">
        <x:v>Unassigned</x:v>
      </x:c>
      <x:c r="P24" s="77" t="str"/>
    </x:row>
    <x:row r="25" ht="34" customHeight="1">
      <x:c r="A25" s="83" t="str">
        <x:v>KAD-019</x:v>
      </x:c>
      <x:c r="B25" s="77" t="str">
        <x:v>Week 3</x:v>
      </x:c>
      <x:c r="C25" s="78" t="n">
        <x:v>46293.5</x:v>
      </x:c>
      <x:c r="D25" s="78" t="n">
        <x:v>46299.5</x:v>
      </x:c>
      <x:c r="E25" s="77" t="str">
        <x:v>Money in, review out, on any chain</x:v>
      </x:c>
      <x:c r="F25" s="77" t="str">
        <x:v>Holdings</x:v>
      </x:c>
      <x:c r="G25" s="77" t="str">
        <x:v>UI unmock</x:v>
      </x:c>
      <x:c r="H25" s="77" t="str">
        <x:v>Connect Holdings, chain filters, Move to vault and history</x:v>
      </x:c>
      <x:c r="I25" s="77" t="str">
        <x:v>Wire the existing Holdings page to indexer data, chain filters, vault actions and transaction history.</x:v>
      </x:c>
      <x:c r="J25" s="77" t="str">
        <x:v>All/ETH/ARB/BASE views match backend totals and actions show real states.</x:v>
      </x:c>
      <x:c r="K25" s="77" t="str">
        <x:v>Critical</x:v>
      </x:c>
      <x:c r="L25" s="77" t="str">
        <x:v>KAD-019,KAD-020</x:v>
      </x:c>
      <x:c r="M25" s="85" t="n">
        <x:v>12</x:v>
      </x:c>
      <x:c r="N25" s="77" t="str">
        <x:v>Not started</x:v>
      </x:c>
      <x:c r="O25" s="77" t="str">
        <x:v>Unassigned</x:v>
      </x:c>
      <x:c r="P25" s="77" t="str">
        <x:v>No new layout work.</x:v>
      </x:c>
    </x:row>
    <x:row r="26" ht="34" customHeight="1">
      <x:c r="A26" s="83" t="str">
        <x:v>KAD-020</x:v>
      </x:c>
      <x:c r="B26" s="77" t="str">
        <x:v>Week 3</x:v>
      </x:c>
      <x:c r="C26" s="78" t="n">
        <x:v>46293.5</x:v>
      </x:c>
      <x:c r="D26" s="78" t="n">
        <x:v>46299.5</x:v>
      </x:c>
      <x:c r="E26" s="77" t="str">
        <x:v>Money in, review out, on any chain</x:v>
      </x:c>
      <x:c r="F26" s="77" t="str">
        <x:v>Accounting</x:v>
      </x:c>
      <x:c r="G26" s="77" t="str">
        <x:v>Backend + QA</x:v>
      </x:c>
      <x:c r="H26" s="77" t="str">
        <x:v>Implement allocation accounting and the qualified-balance invariant</x:v>
      </x:c>
      <x:c r="I26" s="77" t="str">
        <x:v>Track vault assets, allocations and transfers so totals reconcile per chain and in aggregate.</x:v>
      </x:c>
      <x:c r="J26" s="77" t="str">
        <x:v>Invariant passes before and after deposits, allocations and bridges.</x:v>
      </x:c>
      <x:c r="K26" s="77" t="str">
        <x:v>Critical</x:v>
      </x:c>
      <x:c r="L26" s="77" t="str">
        <x:v>KAD-019</x:v>
      </x:c>
      <x:c r="M26" s="85" t="n">
        <x:v>12</x:v>
      </x:c>
      <x:c r="N26" s="77" t="str">
        <x:v>Not started</x:v>
      </x:c>
      <x:c r="O26" s="77" t="str">
        <x:v>Unassigned</x:v>
      </x:c>
      <x:c r="P26" s="77" t="str"/>
    </x:row>
    <x:row r="27" ht="34" customHeight="1">
      <x:c r="A27" s="83" t="str">
        <x:v>KAD-021</x:v>
      </x:c>
      <x:c r="B27" s="77" t="str">
        <x:v>Week 3</x:v>
      </x:c>
      <x:c r="C27" s="78" t="n">
        <x:v>46293.5</x:v>
      </x:c>
      <x:c r="D27" s="78" t="n">
        <x:v>46299.5</x:v>
      </x:c>
      <x:c r="E27" s="77" t="str">
        <x:v>Money in, review out, on any chain</x:v>
      </x:c>
      <x:c r="F27" s="77" t="str">
        <x:v>Invest</x:v>
      </x:c>
      <x:c r="G27" s="77" t="str">
        <x:v>UI unmock</x:v>
      </x:c>
      <x:c r="H27" s="77" t="str">
        <x:v>Connect the Invest catalog and allocation modal</x:v>
      </x:c>
      <x:c r="I27" s="77" t="str">
        <x:v>Replace instrument fixtures with catalog data, chain, minimums, available balance and validation.</x:v>
      </x:c>
      <x:c r="J27" s="77" t="str">
        <x:v>The existing modal cannot allocate more than the available vault balance.</x:v>
      </x:c>
      <x:c r="K27" s="77" t="str">
        <x:v>High</x:v>
      </x:c>
      <x:c r="L27" s="77" t="str">
        <x:v>KAD-022</x:v>
      </x:c>
      <x:c r="M27" s="85" t="n">
        <x:v>6</x:v>
      </x:c>
      <x:c r="N27" s="77" t="str">
        <x:v>Not started</x:v>
      </x:c>
      <x:c r="O27" s="77" t="str">
        <x:v>Unassigned</x:v>
      </x:c>
      <x:c r="P27" s="77" t="str"/>
    </x:row>
    <x:row r="28" ht="34" customHeight="1">
      <x:c r="A28" s="83" t="str">
        <x:v>KAD-022</x:v>
      </x:c>
      <x:c r="B28" s="77" t="str">
        <x:v>Week 3</x:v>
      </x:c>
      <x:c r="C28" s="78" t="n">
        <x:v>46293.5</x:v>
      </x:c>
      <x:c r="D28" s="78" t="n">
        <x:v>46299.5</x:v>
      </x:c>
      <x:c r="E28" s="77" t="str">
        <x:v>Money in, review out, on any chain</x:v>
      </x:c>
      <x:c r="F28" s="77" t="str">
        <x:v>Invest</x:v>
      </x:c>
      <x:c r="G28" s="77" t="str">
        <x:v>Integration</x:v>
      </x:c>
      <x:c r="H28" s="77" t="str">
        <x:v>Connect the Aave vault on Ethereum and the optional Morpho path on Base</x:v>
      </x:c>
      <x:c r="I28" s="77" t="str">
        <x:v>Implement the minimum Aave vault deposit, position and confirmation flow required for the demo; keep Morpho as an optional extension.</x:v>
      </x:c>
      <x:c r="J28" s="77" t="str">
        <x:v>A demo user can deposit into the Aave vault on Ethereum and see the position reflected in Holdings.</x:v>
      </x:c>
      <x:c r="K28" s="77" t="str">
        <x:v>High</x:v>
      </x:c>
      <x:c r="L28" s="77" t="str">
        <x:v>KAD-022,KAD-023</x:v>
      </x:c>
      <x:c r="M28" s="85" t="n">
        <x:v>24</x:v>
      </x:c>
      <x:c r="N28" s="77" t="str">
        <x:v>Not started</x:v>
      </x:c>
      <x:c r="O28" s="77" t="str">
        <x:v>Unassigned</x:v>
      </x:c>
      <x:c r="P28" s="77" t="str">
        <x:v>Aave on Ethereum is required for the demo; Morpho on Base is optional and may be deferred.</x:v>
      </x:c>
    </x:row>
    <x:row r="29" ht="34" customHeight="1">
      <x:c r="A29" s="83" t="str">
        <x:v>KAD-023</x:v>
      </x:c>
      <x:c r="B29" s="77" t="str">
        <x:v>Week 3</x:v>
      </x:c>
      <x:c r="C29" s="78" t="n">
        <x:v>46293.5</x:v>
      </x:c>
      <x:c r="D29" s="78" t="n">
        <x:v>46299.5</x:v>
      </x:c>
      <x:c r="E29" s="77" t="str">
        <x:v>Money in, review out, on any chain</x:v>
      </x:c>
      <x:c r="F29" s="77" t="str">
        <x:v>Residency</x:v>
      </x:c>
      <x:c r="G29" s="77" t="str">
        <x:v>Backend + UI unmock</x:v>
      </x:c>
      <x:c r="H29" s="77" t="str">
        <x:v>Connect readiness checks, documents and Residency flow</x:v>
      </x:c>
      <x:c r="I29" s="77" t="str">
        <x:v>Wire the four checks, document statuses and existing Residency actions to real application state.</x:v>
      </x:c>
      <x:c r="J29" s="77" t="str">
        <x:v>Readiness remains accurate and service-fee action stays locked until prerequisites pass.</x:v>
      </x:c>
      <x:c r="K29" s="77" t="str">
        <x:v>Critical</x:v>
      </x:c>
      <x:c r="L29" s="77" t="str">
        <x:v>KAD-022,KAD-024</x:v>
      </x:c>
      <x:c r="M29" s="85" t="n">
        <x:v>14</x:v>
      </x:c>
      <x:c r="N29" s="77" t="str">
        <x:v>Not started</x:v>
      </x:c>
      <x:c r="O29" s="77" t="str">
        <x:v>Unassigned</x:v>
      </x:c>
      <x:c r="P29" s="77" t="str"/>
    </x:row>
    <x:row r="30" ht="34" customHeight="1">
      <x:c r="A30" s="83" t="str">
        <x:v>KAD-024</x:v>
      </x:c>
      <x:c r="B30" s="77" t="str">
        <x:v>Week 3</x:v>
      </x:c>
      <x:c r="C30" s="78" t="n">
        <x:v>46293.5</x:v>
      </x:c>
      <x:c r="D30" s="78" t="n">
        <x:v>46299.5</x:v>
      </x:c>
      <x:c r="E30" s="77" t="str">
        <x:v>Money in, review out, on any chain</x:v>
      </x:c>
      <x:c r="F30" s="77" t="str">
        <x:v>Identity</x:v>
      </x:c>
      <x:c r="G30" s="77" t="str">
        <x:v>Integration</x:v>
      </x:c>
      <x:c r="H30" s="77" t="str">
        <x:v>Connect Self and create the KYC attestation</x:v>
      </x:c>
      <x:c r="I30" s="77" t="str">
        <x:v>Connect the existing Self modal, verify the staging proof, persist permitted fields/nullifier and issue kade.kyc.v1.</x:v>
      </x:c>
      <x:c r="J30" s="77" t="str">
        <x:v>Successful verification updates the correct readiness check without storing the raw proof.</x:v>
      </x:c>
      <x:c r="K30" s="77" t="str">
        <x:v>Critical</x:v>
      </x:c>
      <x:c r="L30" s="77" t="str">
        <x:v>KAD-024</x:v>
      </x:c>
      <x:c r="M30" s="85" t="n">
        <x:v>16</x:v>
      </x:c>
      <x:c r="N30" s="77" t="str">
        <x:v>Not started</x:v>
      </x:c>
      <x:c r="O30" s="77" t="str">
        <x:v>Unassigned</x:v>
      </x:c>
      <x:c r="P30" s="77" t="str">
        <x:v>Self staging availability is an external dependency.</x:v>
      </x:c>
    </x:row>
    <x:row r="31" ht="34" customHeight="1">
      <x:c r="A31" s="83" t="str">
        <x:v>KAD-025</x:v>
      </x:c>
      <x:c r="B31" s="77" t="str">
        <x:v>Week 3</x:v>
      </x:c>
      <x:c r="C31" s="78" t="n">
        <x:v>46293.5</x:v>
      </x:c>
      <x:c r="D31" s="78" t="n">
        <x:v>46299.5</x:v>
      </x:c>
      <x:c r="E31" s="77" t="str">
        <x:v>Money in, review out, on any chain</x:v>
      </x:c>
      <x:c r="F31" s="77" t="str">
        <x:v>Residency</x:v>
      </x:c>
      <x:c r="G31" s="77" t="str">
        <x:v>Payments</x:v>
      </x:c>
      <x:c r="H31" s="77" t="str">
        <x:v>Connect the residency service fee and application tracker</x:v>
      </x:c>
      <x:c r="I31" s="77" t="str">
        <x:v>Implement the Ethereum service-fee payment, receipt and tracker states.</x:v>
      </x:c>
      <x:c r="J31" s="77" t="str">
        <x:v>Fee is enabled only after all checks are green and the tracker persists.</x:v>
      </x:c>
      <x:c r="K31" s="77" t="str">
        <x:v>Critical</x:v>
      </x:c>
      <x:c r="L31" s="77" t="str">
        <x:v>KAD-026</x:v>
      </x:c>
      <x:c r="M31" s="85" t="n">
        <x:v>10</x:v>
      </x:c>
      <x:c r="N31" s="77" t="str">
        <x:v>Not started</x:v>
      </x:c>
      <x:c r="O31" s="77" t="str">
        <x:v>Unassigned</x:v>
      </x:c>
      <x:c r="P31" s="77" t="str"/>
    </x:row>
    <x:row r="32" ht="34" customHeight="1">
      <x:c r="A32" s="83" t="str">
        <x:v>KAD-026</x:v>
      </x:c>
      <x:c r="B32" s="77" t="str">
        <x:v>Week 3</x:v>
      </x:c>
      <x:c r="C32" s="78" t="n">
        <x:v>46293.5</x:v>
      </x:c>
      <x:c r="D32" s="78" t="n">
        <x:v>46299.5</x:v>
      </x:c>
      <x:c r="E32" s="77" t="str">
        <x:v>Money in, review out, on any chain</x:v>
      </x:c>
      <x:c r="F32" s="77" t="str">
        <x:v>Admin</x:v>
      </x:c>
      <x:c r="G32" s="77" t="str">
        <x:v>Backend + UI unmock</x:v>
      </x:c>
      <x:c r="H32" s="77" t="str">
        <x:v>Connect Admin lanes, filters, review actions and Realtime</x:v>
      </x:c>
      <x:c r="I32" s="77" t="str">
        <x:v>Replace administrative fixtures with queries, permissions, Approve/Block/Reopen, review events and live resident updates.</x:v>
      </x:c>
      <x:c r="J32" s="77" t="str">
        <x:v>Admin actions update the resident gates and reviewer view without refresh.</x:v>
      </x:c>
      <x:c r="K32" s="77" t="str">
        <x:v>Critical</x:v>
      </x:c>
      <x:c r="L32" s="77" t="str">
        <x:v>KAD-006,KAD-026</x:v>
      </x:c>
      <x:c r="M32" s="85" t="n">
        <x:v>18</x:v>
      </x:c>
      <x:c r="N32" s="77" t="str">
        <x:v>Not started</x:v>
      </x:c>
      <x:c r="O32" s="77" t="str">
        <x:v>Unassigned</x:v>
      </x:c>
      <x:c r="P32" s="77" t="str"/>
    </x:row>
    <x:row r="33" ht="34" customHeight="1">
      <x:c r="A33" s="83" t="str">
        <x:v>KAD-027</x:v>
      </x:c>
      <x:c r="B33" s="77" t="str">
        <x:v>Week 3</x:v>
      </x:c>
      <x:c r="C33" s="78" t="n">
        <x:v>46293.5</x:v>
      </x:c>
      <x:c r="D33" s="78" t="n">
        <x:v>46299.5</x:v>
      </x:c>
      <x:c r="E33" s="77" t="str">
        <x:v>Money in, review out, on any chain</x:v>
      </x:c>
      <x:c r="F33" s="77" t="str">
        <x:v>Fiat rails</x:v>
      </x:c>
      <x:c r="G33" s="77" t="str">
        <x:v>Integration</x:v>
      </x:c>
      <x:c r="H33" s="77" t="str">
        <x:v>Connect GOS funding, cash-out and CCTP statuses</x:v>
      </x:c>
      <x:c r="I33" s="77" t="str">
        <x:v>Connect the existing Bank ↔ Crypto forms to GOS/adapter responses, bridge states, references and retries.</x:v>
      </x:c>
      <x:c r="J33" s="77" t="str">
        <x:v>Funding and cash-out show consistent pending, bridging, settled and failed states.</x:v>
      </x:c>
      <x:c r="K33" s="77" t="str">
        <x:v>High</x:v>
      </x:c>
      <x:c r="L33" s="77" t="str">
        <x:v>KAD-028</x:v>
      </x:c>
      <x:c r="M33" s="85" t="n">
        <x:v>24</x:v>
      </x:c>
      <x:c r="N33" s="77" t="str">
        <x:v>Not started</x:v>
      </x:c>
      <x:c r="O33" s="77" t="str">
        <x:v>Unassigned</x:v>
      </x:c>
      <x:c r="P33" s="77" t="str">
        <x:v>GOS sandbox and Circle CCTP availability can change effort.</x:v>
      </x:c>
    </x:row>
    <x:row r="34" ht="34" customHeight="1">
      <x:c r="A34" s="83" t="str">
        <x:v>KAD-028</x:v>
      </x:c>
      <x:c r="B34" s="77" t="str">
        <x:v>Week 3</x:v>
      </x:c>
      <x:c r="C34" s="78" t="n">
        <x:v>46293.5</x:v>
      </x:c>
      <x:c r="D34" s="78" t="n">
        <x:v>46299.5</x:v>
      </x:c>
      <x:c r="E34" s="77" t="str">
        <x:v>Money in, review out, on any chain</x:v>
      </x:c>
      <x:c r="F34" s="77" t="str">
        <x:v>Card</x:v>
      </x:c>
      <x:c r="G34" s="77" t="str">
        <x:v>Integration + UI unmock</x:v>
      </x:c>
      <x:c r="H34" s="77" t="str">
        <x:v>Connect card order, activation and three-network top-ups</x:v>
      </x:c>
      <x:c r="I34" s="77" t="str">
        <x:v>Wire the existing card screens to card status, source chain, amount, ledger and settlement.</x:v>
      </x:c>
      <x:c r="J34" s="77" t="str">
        <x:v>Card and top-up states persist and reflect confirmed balances.</x:v>
      </x:c>
      <x:c r="K34" s="77" t="str">
        <x:v>High</x:v>
      </x:c>
      <x:c r="L34" s="77" t="str">
        <x:v>KAD-028,KAD-030</x:v>
      </x:c>
      <x:c r="M34" s="85" t="n">
        <x:v>16</x:v>
      </x:c>
      <x:c r="N34" s="77" t="str">
        <x:v>Not started</x:v>
      </x:c>
      <x:c r="O34" s="77" t="str">
        <x:v>Unassigned</x:v>
      </x:c>
      <x:c r="P34" s="77" t="str">
        <x:v>GOS card issuance may require partner onboarding.</x:v>
      </x:c>
    </x:row>
    <x:row r="35" ht="34" customHeight="1">
      <x:c r="A35" s="83" t="str">
        <x:v>KAD-029</x:v>
      </x:c>
      <x:c r="B35" s="77" t="str">
        <x:v>Week 4</x:v>
      </x:c>
      <x:c r="C35" s="78" t="n">
        <x:v>46300.5</x:v>
      </x:c>
      <x:c r="D35" s="78" t="n">
        <x:v>46307.5</x:v>
      </x:c>
      <x:c r="E35" s="77" t="str">
        <x:v>Demo-proof, then submitted</x:v>
      </x:c>
      <x:c r="F35" s="77" t="str">
        <x:v>Voting</x:v>
      </x:c>
      <x:c r="G35" s="77" t="str">
        <x:v>Integration</x:v>
      </x:c>
      <x:c r="H35" s="77" t="str">
        <x:v>Connect Snapshot voting and eligibility</x:v>
      </x:c>
      <x:c r="I35" s="77" t="str">
        <x:v>Connect the existing Vote screen to the space, proposal, KYC-based strategy and gasless signature.</x:v>
      </x:c>
      <x:c r="J35" s="77" t="str">
        <x:v>Eligible residents can cast a vote and see a confirmed or rejected result.</x:v>
      </x:c>
      <x:c r="K35" s="77" t="str">
        <x:v>Medium</x:v>
      </x:c>
      <x:c r="L35" s="77" t="str">
        <x:v>KAD-026,KAD-029</x:v>
      </x:c>
      <x:c r="M35" s="85" t="n">
        <x:v>8</x:v>
      </x:c>
      <x:c r="N35" s="77" t="str">
        <x:v>Not started</x:v>
      </x:c>
      <x:c r="O35" s="77" t="str">
        <x:v>Unassigned</x:v>
      </x:c>
      <x:c r="P35" s="77" t="str"/>
    </x:row>
    <x:row r="36" ht="34" customHeight="1">
      <x:c r="A36" s="83" t="str">
        <x:v>KAD-030</x:v>
      </x:c>
      <x:c r="B36" s="77" t="str">
        <x:v>Week 4</x:v>
      </x:c>
      <x:c r="C36" s="78" t="n">
        <x:v>46300.5</x:v>
      </x:c>
      <x:c r="D36" s="78" t="n">
        <x:v>46307.5</x:v>
      </x:c>
      <x:c r="E36" s="77" t="str">
        <x:v>Demo-proof, then submitted</x:v>
      </x:c>
      <x:c r="F36" s="77" t="str">
        <x:v>Frontend</x:v>
      </x:c>
      <x:c r="G36" s="77" t="str">
        <x:v>UI unmock</x:v>
      </x:c>
      <x:c r="H36" s="77" t="str">
        <x:v>Complete loading, empty, error and data-consistency states</x:v>
      </x:c>
      <x:c r="I36" s="77" t="str">
        <x:v>Remove remaining mock success states, align Overview/Holdings/Residency/Admin/Treasury data and fix navigation.</x:v>
      </x:c>
      <x:c r="J36" s="77" t="str">
        <x:v>No contradictory totals, statuses, KYC counts or placeholder links remain.</x:v>
      </x:c>
      <x:c r="K36" s="77" t="str">
        <x:v>Critical</x:v>
      </x:c>
      <x:c r="L36" s="77" t="str">
        <x:v>KAD-029,KAD-030,KAD-031</x:v>
      </x:c>
      <x:c r="M36" s="85" t="n">
        <x:v>12</x:v>
      </x:c>
      <x:c r="N36" s="77" t="str">
        <x:v>Not started</x:v>
      </x:c>
      <x:c r="O36" s="77" t="str">
        <x:v>Unassigned</x:v>
      </x:c>
      <x:c r="P36" s="77" t="str"/>
    </x:row>
    <x:row r="37" ht="34" customHeight="1">
      <x:c r="A37" s="83" t="str">
        <x:v>KAD-031</x:v>
      </x:c>
      <x:c r="B37" s="77" t="str">
        <x:v>Week 4</x:v>
      </x:c>
      <x:c r="C37" s="78" t="n">
        <x:v>46300.5</x:v>
      </x:c>
      <x:c r="D37" s="78" t="n">
        <x:v>46307.5</x:v>
      </x:c>
      <x:c r="E37" s="77" t="str">
        <x:v>Demo-proof, then submitted</x:v>
      </x:c>
      <x:c r="F37" s="77" t="str">
        <x:v>Demo</x:v>
      </x:c>
      <x:c r="G37" s="77" t="str">
        <x:v>QA</x:v>
      </x:c>
      <x:c r="H37" s="77" t="str">
        <x:v>Prepare seeded accounts, funds and a reproducible reset</x:v>
      </x:c>
      <x:c r="I37" s="77" t="str">
        <x:v>Create known residents/applications, demo funds and a reset path for recording.</x:v>
      </x:c>
      <x:c r="J37" s="77" t="str">
        <x:v>The full demo can be reset and replayed with known data.</x:v>
      </x:c>
      <x:c r="K37" s="77" t="str">
        <x:v>Critical</x:v>
      </x:c>
      <x:c r="L37" s="77" t="str">
        <x:v>KAD-030,KAD-031</x:v>
      </x:c>
      <x:c r="M37" s="85" t="n">
        <x:v>6</x:v>
      </x:c>
      <x:c r="N37" s="77" t="str">
        <x:v>Not started</x:v>
      </x:c>
      <x:c r="O37" s="77" t="str">
        <x:v>Unassigned</x:v>
      </x:c>
      <x:c r="P37" s="77" t="str"/>
    </x:row>
    <x:row r="38" ht="34" customHeight="1">
      <x:c r="A38" s="83" t="str">
        <x:v>KAD-032</x:v>
      </x:c>
      <x:c r="B38" s="77" t="str">
        <x:v>Week 4</x:v>
      </x:c>
      <x:c r="C38" s="78" t="n">
        <x:v>46300.5</x:v>
      </x:c>
      <x:c r="D38" s="78" t="n">
        <x:v>46307.5</x:v>
      </x:c>
      <x:c r="E38" s="77" t="str">
        <x:v>Demo-proof, then submitted</x:v>
      </x:c>
      <x:c r="F38" s="77" t="str">
        <x:v>QA</x:v>
      </x:c>
      <x:c r="G38" s="77" t="str">
        <x:v>QA</x:v>
      </x:c>
      <x:c r="H38" s="77" t="str">
        <x:v>Run end-to-end, contract and permission regression</x:v>
      </x:c>
      <x:c r="I38" s="77" t="str">
        <x:v>Run the full resident journey plus contract, RLS, admin-action and accounting-invariant tests.</x:v>
      </x:c>
      <x:c r="J38" s="77" t="str">
        <x:v>Critical paths pass and any remaining defects are documented.</x:v>
      </x:c>
      <x:c r="K38" s="77" t="str">
        <x:v>Critical</x:v>
      </x:c>
      <x:c r="L38" s="77" t="str">
        <x:v>KAD-032,KAD-033,KAD-034</x:v>
      </x:c>
      <x:c r="M38" s="85" t="n">
        <x:v>18</x:v>
      </x:c>
      <x:c r="N38" s="77" t="str">
        <x:v>Not started</x:v>
      </x:c>
      <x:c r="O38" s="77" t="str">
        <x:v>Unassigned</x:v>
      </x:c>
      <x:c r="P38" s="77" t="str"/>
    </x:row>
    <x:row r="39" ht="34" customHeight="1">
      <x:c r="A39" s="83" t="str">
        <x:v>KAD-033</x:v>
      </x:c>
      <x:c r="B39" s="77" t="str">
        <x:v>Week 4</x:v>
      </x:c>
      <x:c r="C39" s="78" t="n">
        <x:v>46300.5</x:v>
      </x:c>
      <x:c r="D39" s="78" t="n">
        <x:v>46307.5</x:v>
      </x:c>
      <x:c r="E39" s="77" t="str">
        <x:v>Demo-proof, then submitted</x:v>
      </x:c>
      <x:c r="F39" s="77" t="str">
        <x:v>Security</x:v>
      </x:c>
      <x:c r="G39" s="77" t="str">
        <x:v>QA</x:v>
      </x:c>
      <x:c r="H39" s="77" t="str">
        <x:v>Review paymaster, relayer, secrets and PII handling</x:v>
      </x:c>
      <x:c r="I39" s="77" t="str">
        <x:v>Check daily caps, replay protection, secrets, logs and Self proof handling.</x:v>
      </x:c>
      <x:c r="J39" s="77" t="str">
        <x:v>Security review is complete and no secrets or raw proofs are committed.</x:v>
      </x:c>
      <x:c r="K39" s="77" t="str">
        <x:v>Critical</x:v>
      </x:c>
      <x:c r="L39" s="77" t="str">
        <x:v>KAD-030,KAD-034</x:v>
      </x:c>
      <x:c r="M39" s="85" t="n">
        <x:v>6</x:v>
      </x:c>
      <x:c r="N39" s="77" t="str">
        <x:v>Not started</x:v>
      </x:c>
      <x:c r="O39" s="77" t="str">
        <x:v>Unassigned</x:v>
      </x:c>
      <x:c r="P39" s="77" t="str"/>
    </x:row>
    <x:row r="40" ht="34" customHeight="1">
      <x:c r="A40" s="83" t="str">
        <x:v>KAD-034</x:v>
      </x:c>
      <x:c r="B40" s="77" t="str">
        <x:v>Week 4</x:v>
      </x:c>
      <x:c r="C40" s="78" t="n">
        <x:v>46300.5</x:v>
      </x:c>
      <x:c r="D40" s="78" t="n">
        <x:v>46307.5</x:v>
      </x:c>
      <x:c r="E40" s="77" t="str">
        <x:v>Demo-proof, then submitted</x:v>
      </x:c>
      <x:c r="F40" s="77" t="str">
        <x:v>Release</x:v>
      </x:c>
      <x:c r="G40" s="77" t="str">
        <x:v>DevOps + Documentation</x:v>
      </x:c>
      <x:c r="H40" s="77" t="str">
        <x:v>Deploy the final build and complete README</x:v>
      </x:c>
      <x:c r="I40" s="77" t="str">
        <x:v>Deploy to Netlify, configure environments, publish addresses, UIDs and real/staging/simulated integration notes.</x:v>
      </x:c>
      <x:c r="J40" s="77" t="str">
        <x:v>Final URL is stable and README allows verification of the demo.</x:v>
      </x:c>
      <x:c r="K40" s="77" t="str">
        <x:v>Critical</x:v>
      </x:c>
      <x:c r="L40" s="77" t="str">
        <x:v>KAD-034,KAD-035</x:v>
      </x:c>
      <x:c r="M40" s="85" t="n">
        <x:v>10</x:v>
      </x:c>
      <x:c r="N40" s="77" t="str">
        <x:v>Not started</x:v>
      </x:c>
      <x:c r="O40" s="77" t="str">
        <x:v>Unassigned</x:v>
      </x:c>
      <x:c r="P40" s="77" t="str"/>
    </x:row>
    <x:row r="41" ht="34" customHeight="1">
      <x:c r="A41" s="83" t="str">
        <x:v>KAD-035</x:v>
      </x:c>
      <x:c r="B41" s="77" t="str">
        <x:v>Week 4</x:v>
      </x:c>
      <x:c r="C41" s="78" t="n">
        <x:v>46300.5</x:v>
      </x:c>
      <x:c r="D41" s="78" t="n">
        <x:v>46307.5</x:v>
      </x:c>
      <x:c r="E41" s="77" t="str">
        <x:v>Demo-proof, then submitted</x:v>
      </x:c>
      <x:c r="F41" s="77" t="str">
        <x:v>Demo</x:v>
      </x:c>
      <x:c r="G41" s="77" t="str">
        <x:v>QA</x:v>
      </x:c>
      <x:c r="H41" s="77" t="str">
        <x:v>Rehearse, fix and freeze the demo build</x:v>
      </x:c>
      <x:c r="I41" s="77" t="str">
        <x:v>Run the scripted demo, fix recording blockers and freeze features on 7 October.</x:v>
      </x:c>
      <x:c r="J41" s="77" t="str">
        <x:v>A frozen build completes the planned demo without improvised manual steps.</x:v>
      </x:c>
      <x:c r="K41" s="77" t="str">
        <x:v>Critical</x:v>
      </x:c>
      <x:c r="L41" s="77" t="str">
        <x:v>KAD-036,KAD-037</x:v>
      </x:c>
      <x:c r="M41" s="85" t="n">
        <x:v>12</x:v>
      </x:c>
      <x:c r="N41" s="77" t="str">
        <x:v>Not started</x:v>
      </x:c>
      <x:c r="O41" s="77" t="str">
        <x:v>Unassigned</x:v>
      </x:c>
      <x:c r="P41" s="77" t="str">
        <x:v>After the freeze, only delivery defects are fixed.</x:v>
      </x:c>
    </x:row>
    <x:row r="42" ht="34" customHeight="1">
      <x:c r="A42" s="84" t="str">
        <x:v>KAD-036</x:v>
      </x:c>
      <x:c r="B42" s="80" t="str">
        <x:v>Week 4</x:v>
      </x:c>
      <x:c r="C42" s="81" t="n">
        <x:v>46300.5</x:v>
      </x:c>
      <x:c r="D42" s="81" t="n">
        <x:v>46307.5</x:v>
      </x:c>
      <x:c r="E42" s="80" t="str">
        <x:v>Demo-proof, then submitted</x:v>
      </x:c>
      <x:c r="F42" s="80" t="str">
        <x:v>Release</x:v>
      </x:c>
      <x:c r="G42" s="80" t="str">
        <x:v>QA</x:v>
      </x:c>
      <x:c r="H42" s="80" t="str">
        <x:v>Reserve post-freeze development buffer</x:v>
      </x:c>
      <x:c r="I42" s="80" t="str">
        <x:v>Reserve 10–12 October for deployment, integration or demo-blocking fixes after the 7 October feature freeze.</x:v>
      </x:c>
      <x:c r="J42" s="80" t="str">
        <x:v>Only critical delivery defects are fixed and the final build remains reproducible.</x:v>
      </x:c>
      <x:c r="K42" s="80" t="str">
        <x:v>High</x:v>
      </x:c>
      <x:c r="L42" s="80" t="str">
        <x:v>KAD-038</x:v>
      </x:c>
      <x:c r="M42" s="86" t="n">
        <x:v>8</x:v>
      </x:c>
      <x:c r="N42" s="80" t="str">
        <x:v>Not started</x:v>
      </x:c>
      <x:c r="O42" s="80" t="str">
        <x:v>Unassigned</x:v>
      </x:c>
      <x:c r="P42" s="80" t="str">
        <x:v>Hackathon administration, videos and portal work are outside this development backlog.</x:v>
      </x:c>
    </x:row>
  </x:sheetData>
  <x:mergeCells>
    <x:mergeCell ref="A1:P1"/>
    <x:mergeCell ref="A2:P2"/>
    <x:mergeCell ref="A5:P5"/>
  </x:mergeCells>
  <x:conditionalFormatting sqref="N7:N42">
    <x:cfRule type="containsText" dxfId="0" priority="1" operator="containsText" text="Done"/>
    <x:cfRule type="containsText" dxfId="1" priority="2" operator="containsText" text="Blocked"/>
  </x:conditionalFormatting>
  <x:conditionalFormatting sqref="K7:K42">
    <x:cfRule type="containsText" dxfId="2" priority="3" operator="containsText" text="Critical"/>
  </x:conditionalFormatting>
  <x:dataValidations count="2">
    <x:dataValidation type="list" sqref="N7:N42">
      <x:formula1>"Not started,In progress,Blocked,Done"</x:formula1>
    </x:dataValidation>
    <x:dataValidation type="list" sqref="K7:K42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149ec5aad6427e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2" hidden="0" customWidth="1"/>
    <x:col min="5" max="5" width="18" hidden="0" customWidth="1"/>
    <x:col min="6" max="6" width="34" hidden="0" customWidth="1"/>
    <x:col min="7" max="7" width="58" hidden="0" customWidth="1"/>
    <x:col min="8" max="8" width="20" hidden="0" customWidth="1"/>
    <x:col min="9" max="9" width="16" hidden="0" customWidth="1"/>
    <x:col min="10" max="10" width="14" hidden="0" customWidth="1"/>
    <x:col min="11" max="11" width="20" hidden="0" customWidth="1"/>
    <x:col min="12" max="12" width="12" hidden="0" customWidth="1"/>
    <x:col min="13" max="13" width="14" hidden="0" customWidth="1"/>
    <x:col min="14" max="14" width="14" hidden="0" customWidth="1"/>
    <x:col min="15" max="15" width="48" hidden="0" customWidth="1"/>
  </x:cols>
  <x:sheetData>
    <x:row r="1" ht="24" customHeight="1">
      <x:c r="A1" s="31" t="str">
        <x:v>Kade MVP — 80h execution plan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</x:row>
    <x:row r="2" ht="24" customHeight="1">
      <x:c r="A2" s="31" t="str">
        <x:v>Critical-path coordination, implementation and validation view. Rate: 17.5 USD per execution hour.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</x:row>
    <x:row r="4">
      <x:c r="A4" s="11" t="str">
        <x:v>Metric</x:v>
      </x:c>
      <x:c r="B4" s="12" t="str">
        <x:v>Value</x:v>
      </x:c>
      <x:c r="C4" s="31"/>
      <x:c r="D4" s="11" t="str">
        <x:v>Week</x:v>
      </x:c>
      <x:c r="E4" s="12" t="str">
        <x:v>Hours</x:v>
      </x:c>
      <x:c r="F4" s="31"/>
      <x:c r="G4" s="31"/>
      <x:c r="H4" s="31"/>
      <x:c r="I4" s="31"/>
      <x:c r="J4" s="31"/>
      <x:c r="K4" s="31"/>
      <x:c r="L4" s="31"/>
      <x:c r="M4" s="31"/>
      <x:c r="N4" s="31"/>
      <x:c r="O4" s="31"/>
    </x:row>
    <x:row r="5">
      <x:c r="A5" s="33" t="str">
        <x:v>Execution tasks</x:v>
      </x:c>
      <x:c r="B5" s="34" t="n">
        <x:f>COUNTA('80h Plan'!$A$11:$A$35)</x:f>
        <x:v>25</x:v>
      </x:c>
      <x:c r="C5" s="31"/>
      <x:c r="D5" s="33" t="str">
        <x:v>Week 1</x:v>
      </x:c>
      <x:c r="E5" s="34" t="n">
        <x:f>SUMIF('80h Plan'!$B$11:$B$35,D5,'80h Plan'!$I$11:$I$35)</x:f>
        <x:v>20</x:v>
      </x:c>
      <x:c r="F5" s="31"/>
      <x:c r="G5" s="31"/>
      <x:c r="H5" s="31"/>
      <x:c r="I5" s="31"/>
      <x:c r="J5" s="31"/>
      <x:c r="K5" s="31"/>
      <x:c r="L5" s="31"/>
      <x:c r="M5" s="31"/>
      <x:c r="N5" s="31"/>
      <x:c r="O5" s="31"/>
    </x:row>
    <x:row r="6">
      <x:c r="A6" s="33" t="str">
        <x:v>Execution hours</x:v>
      </x:c>
      <x:c r="B6" s="34" t="n">
        <x:f>SUM('80h Plan'!$I$11:$I$35)</x:f>
        <x:v>80</x:v>
      </x:c>
      <x:c r="C6" s="31"/>
      <x:c r="D6" s="33" t="str">
        <x:v>Week 2</x:v>
      </x:c>
      <x:c r="E6" s="34" t="n">
        <x:f>SUMIF('80h Plan'!$B$11:$B$35,D6,'80h Plan'!$I$11:$I$35)</x:f>
        <x:v>20</x:v>
      </x:c>
      <x:c r="F6" s="31"/>
      <x:c r="G6" s="31"/>
      <x:c r="H6" s="31"/>
      <x:c r="I6" s="31"/>
      <x:c r="J6" s="31"/>
      <x:c r="K6" s="31"/>
      <x:c r="L6" s="31"/>
      <x:c r="M6" s="31"/>
      <x:c r="N6" s="31"/>
      <x:c r="O6" s="31"/>
    </x:row>
    <x:row r="7">
      <x:c r="A7" s="37" t="str">
        <x:v>Execution value (USD)</x:v>
      </x:c>
      <x:c r="B7" s="38" t="n">
        <x:f>SUM('80h Plan'!$K$11:$K$35)</x:f>
        <x:v>1400</x:v>
      </x:c>
      <x:c r="C7" s="31"/>
      <x:c r="D7" s="33" t="str">
        <x:v>Week 3</x:v>
      </x:c>
      <x:c r="E7" s="34" t="n">
        <x:f>SUMIF('80h Plan'!$B$11:$B$35,D7,'80h Plan'!$I$11:$I$35)</x:f>
        <x:v>25</x:v>
      </x:c>
      <x:c r="F7" s="31"/>
      <x:c r="G7" s="31"/>
      <x:c r="H7" s="31"/>
      <x:c r="I7" s="31"/>
      <x:c r="J7" s="31"/>
      <x:c r="K7" s="31"/>
      <x:c r="L7" s="31"/>
      <x:c r="M7" s="31"/>
      <x:c r="N7" s="31"/>
      <x:c r="O7" s="31"/>
    </x:row>
    <x:row r="8">
      <x:c r="A8" s="31"/>
      <x:c r="B8" s="31"/>
      <x:c r="C8" s="31"/>
      <x:c r="D8" s="37" t="str">
        <x:v>Week 4</x:v>
      </x:c>
      <x:c r="E8" s="89" t="n">
        <x:f>SUMIF('80h Plan'!$B$11:$B$35,D8,'80h Plan'!$I$11:$I$35)</x:f>
        <x:v>15</x:v>
      </x:c>
      <x:c r="F8" s="31"/>
      <x:c r="G8" s="31"/>
      <x:c r="H8" s="31"/>
      <x:c r="I8" s="31"/>
      <x:c r="J8" s="31"/>
      <x:c r="K8" s="31"/>
      <x:c r="L8" s="31"/>
      <x:c r="M8" s="31"/>
      <x:c r="N8" s="31"/>
      <x:c r="O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</x:row>
    <x:row r="10" ht="34" customHeight="1">
      <x:c r="A10" s="8" t="str">
        <x:v>Execution ID</x:v>
      </x:c>
      <x:c r="B10" s="8" t="str">
        <x:v>Week</x:v>
      </x:c>
      <x:c r="C10" s="8" t="str">
        <x:v>Start</x:v>
      </x:c>
      <x:c r="D10" s="8" t="str">
        <x:v>End</x:v>
      </x:c>
      <x:c r="E10" s="8" t="str">
        <x:v>Workstream</x:v>
      </x:c>
      <x:c r="F10" s="8" t="str">
        <x:v>Task</x:v>
      </x:c>
      <x:c r="G10" s="8" t="str">
        <x:v>Description</x:v>
      </x:c>
      <x:c r="H10" s="8" t="str">
        <x:v>Backlog references</x:v>
      </x:c>
      <x:c r="I10" s="8" t="str">
        <x:v>Execution hours</x:v>
      </x:c>
      <x:c r="J10" s="8" t="str">
        <x:v>Rate USD/h</x:v>
      </x:c>
      <x:c r="K10" s="8" t="str">
        <x:v>Execution value USD</x:v>
      </x:c>
      <x:c r="L10" s="8" t="str">
        <x:v>Priority</x:v>
      </x:c>
      <x:c r="M10" s="8" t="str">
        <x:v>Status</x:v>
      </x:c>
      <x:c r="N10" s="8" t="str">
        <x:v>Owner</x:v>
      </x:c>
      <x:c r="O10" s="8" t="str">
        <x:v>Notes</x:v>
      </x:c>
    </x:row>
    <x:row r="11" ht="34" customHeight="1">
      <x:c r="A11" s="95" t="str">
        <x:v>EXE-001</x:v>
      </x:c>
      <x:c r="B11" s="73" t="str">
        <x:v>Week 1</x:v>
      </x:c>
      <x:c r="C11" s="74" t="n">
        <x:v>46279.5</x:v>
      </x:c>
      <x:c r="D11" s="74" t="n">
        <x:v>46285.5</x:v>
      </x:c>
      <x:c r="E11" s="73" t="str">
        <x:v>Foundation</x:v>
      </x:c>
      <x:c r="F11" s="73" t="str">
        <x:v>Project setup and Supabase environment</x:v>
      </x:c>
      <x:c r="G11" s="73" t="str">
        <x:v>Create repository, README shell, providers, configuration, license/disclosure and development/demo environments.</x:v>
      </x:c>
      <x:c r="H11" s="73" t="str">
        <x:v>KAD-001</x:v>
      </x:c>
      <x:c r="I11" s="101" t="n">
        <x:v>3</x:v>
      </x:c>
      <x:c r="J11" s="102" t="n">
        <x:v>17.5</x:v>
      </x:c>
      <x:c r="K11" s="102" t="n">
        <x:f>I11*J11</x:f>
        <x:v>52.5</x:v>
      </x:c>
      <x:c r="L11" s="73" t="str">
        <x:v>Critical</x:v>
      </x:c>
      <x:c r="M11" s="73" t="str">
        <x:v>Not started</x:v>
      </x:c>
      <x:c r="N11" s="73" t="str">
        <x:v>Unassigned</x:v>
      </x:c>
      <x:c r="O11" s="73" t="str"/>
    </x:row>
    <x:row r="12" ht="34" customHeight="1">
      <x:c r="A12" s="95" t="str">
        <x:v>EXE-002</x:v>
      </x:c>
      <x:c r="B12" s="73" t="str">
        <x:v>Week 1</x:v>
      </x:c>
      <x:c r="C12" s="74" t="n">
        <x:v>46279.5</x:v>
      </x:c>
      <x:c r="D12" s="74" t="n">
        <x:v>46285.5</x:v>
      </x:c>
      <x:c r="E12" s="73" t="str">
        <x:v>Configuration</x:v>
      </x:c>
      <x:c r="F12" s="73" t="str">
        <x:v>Seed chains and fee schedule</x:v>
      </x:c>
      <x:c r="G12" s="73" t="str">
        <x:v>Seed the three supported networks, addresses, token metadata and demo/production fee schedule.</x:v>
      </x:c>
      <x:c r="H12" s="73" t="str">
        <x:v>KAD-002</x:v>
      </x:c>
      <x:c r="I12" s="101" t="n">
        <x:v>1</x:v>
      </x:c>
      <x:c r="J12" s="102" t="n">
        <x:v>17.5</x:v>
      </x:c>
      <x:c r="K12" s="102" t="n">
        <x:f>I12*J12</x:f>
        <x:v>17.5</x:v>
      </x:c>
      <x:c r="L12" s="73" t="str">
        <x:v>Critical</x:v>
      </x:c>
      <x:c r="M12" s="73" t="str">
        <x:v>Not started</x:v>
      </x:c>
      <x:c r="N12" s="73" t="str">
        <x:v>Unassigned</x:v>
      </x:c>
      <x:c r="O12" s="73" t="str"/>
    </x:row>
    <x:row r="13" ht="34" customHeight="1">
      <x:c r="A13" s="95" t="str">
        <x:v>EXE-003</x:v>
      </x:c>
      <x:c r="B13" s="73" t="str">
        <x:v>Week 1</x:v>
      </x:c>
      <x:c r="C13" s="74" t="n">
        <x:v>46279.5</x:v>
      </x:c>
      <x:c r="D13" s="74" t="n">
        <x:v>46285.5</x:v>
      </x:c>
      <x:c r="E13" s="73" t="str">
        <x:v>Frontend</x:v>
      </x:c>
      <x:c r="F13" s="73" t="str">
        <x:v>Connect shell, Auth and passkey</x:v>
      </x:c>
      <x:c r="G13" s="73" t="str">
        <x:v>Wire existing navigation and onboarding entry points to real session state and passkey authentication.</x:v>
      </x:c>
      <x:c r="H13" s="73" t="str">
        <x:v>KAD-003</x:v>
      </x:c>
      <x:c r="I13" s="101" t="n">
        <x:v>4</x:v>
      </x:c>
      <x:c r="J13" s="102" t="n">
        <x:v>17.5</x:v>
      </x:c>
      <x:c r="K13" s="102" t="n">
        <x:f>I13*J13</x:f>
        <x:v>70</x:v>
      </x:c>
      <x:c r="L13" s="73" t="str">
        <x:v>Critical</x:v>
      </x:c>
      <x:c r="M13" s="73" t="str">
        <x:v>Not started</x:v>
      </x:c>
      <x:c r="N13" s="73" t="str">
        <x:v>Unassigned</x:v>
      </x:c>
      <x:c r="O13" s="73" t="str"/>
    </x:row>
    <x:row r="14" ht="34" customHeight="1">
      <x:c r="A14" s="95" t="str">
        <x:v>EXE-004</x:v>
      </x:c>
      <x:c r="B14" s="73" t="str">
        <x:v>Week 1</x:v>
      </x:c>
      <x:c r="C14" s="74" t="n">
        <x:v>46279.5</x:v>
      </x:c>
      <x:c r="D14" s="74" t="n">
        <x:v>46285.5</x:v>
      </x:c>
      <x:c r="E14" s="73" t="str">
        <x:v>Accounts</x:v>
      </x:c>
      <x:c r="F14" s="73" t="str">
        <x:v>Create Safe and reserve L2 address</x:v>
      </x:c>
      <x:c r="G14" s="73" t="str">
        <x:v>Create the Ethereum Safe and derive/reserve the same address on Arbitrum and Base.</x:v>
      </x:c>
      <x:c r="H14" s="73" t="str">
        <x:v>KAD-004</x:v>
      </x:c>
      <x:c r="I14" s="101" t="n">
        <x:v>3</x:v>
      </x:c>
      <x:c r="J14" s="102" t="n">
        <x:v>17.5</x:v>
      </x:c>
      <x:c r="K14" s="102" t="n">
        <x:f>I14*J14</x:f>
        <x:v>52.5</x:v>
      </x:c>
      <x:c r="L14" s="73" t="str">
        <x:v>Critical</x:v>
      </x:c>
      <x:c r="M14" s="73" t="str">
        <x:v>Not started</x:v>
      </x:c>
      <x:c r="N14" s="73" t="str">
        <x:v>Unassigned</x:v>
      </x:c>
      <x:c r="O14" s="73" t="str"/>
    </x:row>
    <x:row r="15" ht="34" customHeight="1">
      <x:c r="A15" s="95" t="str">
        <x:v>EXE-005</x:v>
      </x:c>
      <x:c r="B15" s="73" t="str">
        <x:v>Week 1</x:v>
      </x:c>
      <x:c r="C15" s="74" t="n">
        <x:v>46279.5</x:v>
      </x:c>
      <x:c r="D15" s="74" t="n">
        <x:v>46285.5</x:v>
      </x:c>
      <x:c r="E15" s="73" t="str">
        <x:v>Onboarding</x:v>
      </x:c>
      <x:c r="F15" s="73" t="str">
        <x:v>Connect profile, household and fee calculation</x:v>
      </x:c>
      <x:c r="G15" s="73" t="str">
        <x:v>Persist existing profile and household forms, tier selection and fee validation.</x:v>
      </x:c>
      <x:c r="H15" s="73" t="str">
        <x:v>KAD-005,KAD-006</x:v>
      </x:c>
      <x:c r="I15" s="101" t="n">
        <x:v>5</x:v>
      </x:c>
      <x:c r="J15" s="102" t="n">
        <x:v>17.5</x:v>
      </x:c>
      <x:c r="K15" s="102" t="n">
        <x:f>I15*J15</x:f>
        <x:v>87.5</x:v>
      </x:c>
      <x:c r="L15" s="73" t="str">
        <x:v>Critical</x:v>
      </x:c>
      <x:c r="M15" s="73" t="str">
        <x:v>Not started</x:v>
      </x:c>
      <x:c r="N15" s="73" t="str">
        <x:v>Unassigned</x:v>
      </x:c>
      <x:c r="O15" s="73" t="str"/>
    </x:row>
    <x:row r="16" ht="34" customHeight="1">
      <x:c r="A16" s="95" t="str">
        <x:v>EXE-006</x:v>
      </x:c>
      <x:c r="B16" s="73" t="str">
        <x:v>Week 1</x:v>
      </x:c>
      <x:c r="C16" s="74" t="n">
        <x:v>46279.5</x:v>
      </x:c>
      <x:c r="D16" s="74" t="n">
        <x:v>46285.5</x:v>
      </x:c>
      <x:c r="E16" s="73" t="str">
        <x:v>Onchain core</x:v>
      </x:c>
      <x:c r="F16" s="73" t="str">
        <x:v>Register EAS schemas and baseline KadeLock</x:v>
      </x:c>
      <x:c r="G16" s="73" t="str">
        <x:v>Register the schemas and establish the tested KadeLock baseline needed for week two.</x:v>
      </x:c>
      <x:c r="H16" s="73" t="str">
        <x:v>KAD-007,KAD-008</x:v>
      </x:c>
      <x:c r="I16" s="101" t="n">
        <x:v>4</x:v>
      </x:c>
      <x:c r="J16" s="102" t="n">
        <x:v>17.5</x:v>
      </x:c>
      <x:c r="K16" s="102" t="n">
        <x:f>I16*J16</x:f>
        <x:v>70</x:v>
      </x:c>
      <x:c r="L16" s="73" t="str">
        <x:v>Critical</x:v>
      </x:c>
      <x:c r="M16" s="73" t="str">
        <x:v>Not started</x:v>
      </x:c>
      <x:c r="N16" s="73" t="str">
        <x:v>Unassigned</x:v>
      </x:c>
      <x:c r="O16" s="73" t="str"/>
    </x:row>
    <x:row r="17" ht="34" customHeight="1">
      <x:c r="A17" s="95" t="str">
        <x:v>EXE-007</x:v>
      </x:c>
      <x:c r="B17" s="73" t="str">
        <x:v>Week 2</x:v>
      </x:c>
      <x:c r="C17" s="74" t="n">
        <x:v>46286.5</x:v>
      </x:c>
      <x:c r="D17" s="74" t="n">
        <x:v>46292.5</x:v>
      </x:c>
      <x:c r="E17" s="73" t="str">
        <x:v>Wallets</x:v>
      </x:c>
      <x:c r="F17" s="73" t="str">
        <x:v>Connect wallets and SIWE</x:v>
      </x:c>
      <x:c r="G17" s="73" t="str">
        <x:v>Connect extension wallet, WalletConnect and the agreed signing path; verify ownership with SIWE.</x:v>
      </x:c>
      <x:c r="H17" s="73" t="str">
        <x:v>KAD-009</x:v>
      </x:c>
      <x:c r="I17" s="101" t="n">
        <x:v>4</x:v>
      </x:c>
      <x:c r="J17" s="102" t="n">
        <x:v>17.5</x:v>
      </x:c>
      <x:c r="K17" s="102" t="n">
        <x:f>I17*J17</x:f>
        <x:v>70</x:v>
      </x:c>
      <x:c r="L17" s="73" t="str">
        <x:v>Critical</x:v>
      </x:c>
      <x:c r="M17" s="73" t="str">
        <x:v>Not started</x:v>
      </x:c>
      <x:c r="N17" s="73" t="str">
        <x:v>Unassigned</x:v>
      </x:c>
      <x:c r="O17" s="73" t="str"/>
    </x:row>
    <x:row r="18" ht="34" customHeight="1">
      <x:c r="A18" s="95" t="str">
        <x:v>EXE-008</x:v>
      </x:c>
      <x:c r="B18" s="73" t="str">
        <x:v>Week 2</x:v>
      </x:c>
      <x:c r="C18" s="74" t="n">
        <x:v>46286.5</x:v>
      </x:c>
      <x:c r="D18" s="74" t="n">
        <x:v>46292.5</x:v>
      </x:c>
      <x:c r="E18" s="73" t="str">
        <x:v>Wealth</x:v>
      </x:c>
      <x:c r="F18" s="73" t="str">
        <x:v>Read multichain balances and snapshots</x:v>
      </x:c>
      <x:c r="G18" s="73" t="str">
        <x:v>Read Ethereum, Arbitrum and Base balances, normalize values and persist snapshots.</x:v>
      </x:c>
      <x:c r="H18" s="73" t="str">
        <x:v>KAD-010</x:v>
      </x:c>
      <x:c r="I18" s="101" t="n">
        <x:v>4</x:v>
      </x:c>
      <x:c r="J18" s="102" t="n">
        <x:v>17.5</x:v>
      </x:c>
      <x:c r="K18" s="102" t="n">
        <x:f>I18*J18</x:f>
        <x:v>70</x:v>
      </x:c>
      <x:c r="L18" s="73" t="str">
        <x:v>Critical</x:v>
      </x:c>
      <x:c r="M18" s="73" t="str">
        <x:v>Not started</x:v>
      </x:c>
      <x:c r="N18" s="73" t="str">
        <x:v>Unassigned</x:v>
      </x:c>
      <x:c r="O18" s="73" t="str"/>
    </x:row>
    <x:row r="19" ht="34" customHeight="1">
      <x:c r="A19" s="95" t="str">
        <x:v>EXE-009</x:v>
      </x:c>
      <x:c r="B19" s="73" t="str">
        <x:v>Week 2</x:v>
      </x:c>
      <x:c r="C19" s="74" t="n">
        <x:v>46286.5</x:v>
      </x:c>
      <x:c r="D19" s="74" t="n">
        <x:v>46292.5</x:v>
      </x:c>
      <x:c r="E19" s="73" t="str">
        <x:v>Frontend</x:v>
      </x:c>
      <x:c r="F19" s="73" t="str">
        <x:v>Unmock Proof of Wealth</x:v>
      </x:c>
      <x:c r="G19" s="73" t="str">
        <x:v>Replace fixtures with wallet state, thresholds, timestamps and real Continue gating.</x:v>
      </x:c>
      <x:c r="H19" s="73" t="str">
        <x:v>KAD-011</x:v>
      </x:c>
      <x:c r="I19" s="101" t="n">
        <x:v>2</x:v>
      </x:c>
      <x:c r="J19" s="102" t="n">
        <x:v>17.5</x:v>
      </x:c>
      <x:c r="K19" s="102" t="n">
        <x:f>I19*J19</x:f>
        <x:v>35</x:v>
      </x:c>
      <x:c r="L19" s="73" t="str">
        <x:v>Critical</x:v>
      </x:c>
      <x:c r="M19" s="73" t="str">
        <x:v>Not started</x:v>
      </x:c>
      <x:c r="N19" s="73" t="str">
        <x:v>Unassigned</x:v>
      </x:c>
      <x:c r="O19" s="73" t="str"/>
    </x:row>
    <x:row r="20" ht="34" customHeight="1">
      <x:c r="A20" s="95" t="str">
        <x:v>EXE-010</x:v>
      </x:c>
      <x:c r="B20" s="73" t="str">
        <x:v>Week 2</x:v>
      </x:c>
      <x:c r="C20" s="74" t="n">
        <x:v>46286.5</x:v>
      </x:c>
      <x:c r="D20" s="74" t="n">
        <x:v>46292.5</x:v>
      </x:c>
      <x:c r="E20" s="73" t="str">
        <x:v>Payments</x:v>
      </x:c>
      <x:c r="F20" s="73" t="str">
        <x:v>Run pre-approval UserOp, transfer and attestations</x:v>
      </x:c>
      <x:c r="G20" s="73" t="str">
        <x:v>Coordinate UserOp, paymaster, Treasury transfer and fee/application attestations.</x:v>
      </x:c>
      <x:c r="H20" s="73" t="str">
        <x:v>KAD-012,KAD-013</x:v>
      </x:c>
      <x:c r="I20" s="101" t="n">
        <x:v>5</x:v>
      </x:c>
      <x:c r="J20" s="102" t="n">
        <x:v>17.5</x:v>
      </x:c>
      <x:c r="K20" s="102" t="n">
        <x:f>I20*J20</x:f>
        <x:v>87.5</x:v>
      </x:c>
      <x:c r="L20" s="73" t="str">
        <x:v>Critical</x:v>
      </x:c>
      <x:c r="M20" s="73" t="str">
        <x:v>Not started</x:v>
      </x:c>
      <x:c r="N20" s="73" t="str">
        <x:v>Unassigned</x:v>
      </x:c>
      <x:c r="O20" s="73" t="str"/>
    </x:row>
    <x:row r="21" ht="34" customHeight="1">
      <x:c r="A21" s="95" t="str">
        <x:v>EXE-011</x:v>
      </x:c>
      <x:c r="B21" s="73" t="str">
        <x:v>Week 2</x:v>
      </x:c>
      <x:c r="C21" s="74" t="n">
        <x:v>46286.5</x:v>
      </x:c>
      <x:c r="D21" s="74" t="n">
        <x:v>46292.5</x:v>
      </x:c>
      <x:c r="E21" s="73" t="str">
        <x:v>Vault</x:v>
      </x:c>
      <x:c r="F21" s="73" t="str">
        <x:v>Deploy KadeLock and connect deposits</x:v>
      </x:c>
      <x:c r="G21" s="73" t="str">
        <x:v>Deploy on three chains and connect the existing deposit actions to the contracts.</x:v>
      </x:c>
      <x:c r="H21" s="73" t="str">
        <x:v>KAD-015,KAD-016</x:v>
      </x:c>
      <x:c r="I21" s="101" t="n">
        <x:v>3</x:v>
      </x:c>
      <x:c r="J21" s="102" t="n">
        <x:v>17.5</x:v>
      </x:c>
      <x:c r="K21" s="102" t="n">
        <x:f>I21*J21</x:f>
        <x:v>52.5</x:v>
      </x:c>
      <x:c r="L21" s="73" t="str">
        <x:v>Critical</x:v>
      </x:c>
      <x:c r="M21" s="73" t="str">
        <x:v>Not started</x:v>
      </x:c>
      <x:c r="N21" s="73" t="str">
        <x:v>Unassigned</x:v>
      </x:c>
      <x:c r="O21" s="73" t="str"/>
    </x:row>
    <x:row r="22" ht="34" customHeight="1">
      <x:c r="A22" s="95" t="str">
        <x:v>EXE-012</x:v>
      </x:c>
      <x:c r="B22" s="73" t="str">
        <x:v>Week 2</x:v>
      </x:c>
      <x:c r="C22" s="74" t="n">
        <x:v>46286.5</x:v>
      </x:c>
      <x:c r="D22" s="74" t="n">
        <x:v>46292.5</x:v>
      </x:c>
      <x:c r="E22" s="73" t="str">
        <x:v>Indexer</x:v>
      </x:c>
      <x:c r="F22" s="73" t="str">
        <x:v>Validate qualified total and Overview status</x:v>
      </x:c>
      <x:c r="G22" s="73" t="str">
        <x:v>Validate indexer output, cross-chain qualified total and pre-approval/vault status in the existing Overview.</x:v>
      </x:c>
      <x:c r="H22" s="73" t="str">
        <x:v>KAD-017,KAD-018</x:v>
      </x:c>
      <x:c r="I22" s="101" t="n">
        <x:v>2</x:v>
      </x:c>
      <x:c r="J22" s="102" t="n">
        <x:v>17.5</x:v>
      </x:c>
      <x:c r="K22" s="102" t="n">
        <x:f>I22*J22</x:f>
        <x:v>35</x:v>
      </x:c>
      <x:c r="L22" s="73" t="str">
        <x:v>Critical</x:v>
      </x:c>
      <x:c r="M22" s="73" t="str">
        <x:v>Not started</x:v>
      </x:c>
      <x:c r="N22" s="73" t="str">
        <x:v>Unassigned</x:v>
      </x:c>
      <x:c r="O22" s="73" t="str"/>
    </x:row>
    <x:row r="23" ht="34" customHeight="1">
      <x:c r="A23" s="95" t="str">
        <x:v>EXE-013</x:v>
      </x:c>
      <x:c r="B23" s="73" t="str">
        <x:v>Week 3</x:v>
      </x:c>
      <x:c r="C23" s="74" t="n">
        <x:v>46293.5</x:v>
      </x:c>
      <x:c r="D23" s="74" t="n">
        <x:v>46299.5</x:v>
      </x:c>
      <x:c r="E23" s="73" t="str">
        <x:v>Holdings</x:v>
      </x:c>
      <x:c r="F23" s="73" t="str">
        <x:v>Unmock Holdings and Move to vault</x:v>
      </x:c>
      <x:c r="G23" s="73" t="str">
        <x:v>Connect aggregated Holdings, network filters, Move to vault, transaction states and history.</x:v>
      </x:c>
      <x:c r="H23" s="73" t="str">
        <x:v>KAD-019</x:v>
      </x:c>
      <x:c r="I23" s="101" t="n">
        <x:v>3</x:v>
      </x:c>
      <x:c r="J23" s="102" t="n">
        <x:v>17.5</x:v>
      </x:c>
      <x:c r="K23" s="102" t="n">
        <x:f>I23*J23</x:f>
        <x:v>52.5</x:v>
      </x:c>
      <x:c r="L23" s="73" t="str">
        <x:v>Critical</x:v>
      </x:c>
      <x:c r="M23" s="73" t="str">
        <x:v>Not started</x:v>
      </x:c>
      <x:c r="N23" s="73" t="str">
        <x:v>Unassigned</x:v>
      </x:c>
      <x:c r="O23" s="73" t="str"/>
    </x:row>
    <x:row r="24" ht="34" customHeight="1">
      <x:c r="A24" s="95" t="str">
        <x:v>EXE-014</x:v>
      </x:c>
      <x:c r="B24" s="73" t="str">
        <x:v>Week 3</x:v>
      </x:c>
      <x:c r="C24" s="74" t="n">
        <x:v>46293.5</x:v>
      </x:c>
      <x:c r="D24" s="74" t="n">
        <x:v>46299.5</x:v>
      </x:c>
      <x:c r="E24" s="73" t="str">
        <x:v>Accounting</x:v>
      </x:c>
      <x:c r="F24" s="73" t="str">
        <x:v>Validate allocation accounting invariant</x:v>
      </x:c>
      <x:c r="G24" s="73" t="str">
        <x:v>Connect allocation data and verify qualified balance remains consistent before and after movements.</x:v>
      </x:c>
      <x:c r="H24" s="73" t="str">
        <x:v>KAD-020</x:v>
      </x:c>
      <x:c r="I24" s="101" t="n">
        <x:v>3</x:v>
      </x:c>
      <x:c r="J24" s="102" t="n">
        <x:v>17.5</x:v>
      </x:c>
      <x:c r="K24" s="102" t="n">
        <x:f>I24*J24</x:f>
        <x:v>52.5</x:v>
      </x:c>
      <x:c r="L24" s="73" t="str">
        <x:v>Critical</x:v>
      </x:c>
      <x:c r="M24" s="73" t="str">
        <x:v>Not started</x:v>
      </x:c>
      <x:c r="N24" s="73" t="str">
        <x:v>Unassigned</x:v>
      </x:c>
      <x:c r="O24" s="73" t="str"/>
    </x:row>
    <x:row r="25" ht="34" customHeight="1">
      <x:c r="A25" s="95" t="str">
        <x:v>EXE-015</x:v>
      </x:c>
      <x:c r="B25" s="73" t="str">
        <x:v>Week 3</x:v>
      </x:c>
      <x:c r="C25" s="74" t="n">
        <x:v>46293.5</x:v>
      </x:c>
      <x:c r="D25" s="74" t="n">
        <x:v>46299.5</x:v>
      </x:c>
      <x:c r="E25" s="73" t="str">
        <x:v>Invest</x:v>
      </x:c>
      <x:c r="F25" s="73" t="str">
        <x:v>Connect the Aave vault on Ethereum</x:v>
      </x:c>
      <x:c r="G25" s="73" t="str">
        <x:v>Connect the existing Invest modal to the minimum Aave deposit, position and confirmation flow required for the demo.</x:v>
      </x:c>
      <x:c r="H25" s="73" t="str">
        <x:v>KAD-021,KAD-022</x:v>
      </x:c>
      <x:c r="I25" s="101" t="n">
        <x:v>4</x:v>
      </x:c>
      <x:c r="J25" s="102" t="n">
        <x:v>17.5</x:v>
      </x:c>
      <x:c r="K25" s="102" t="n">
        <x:f>I25*J25</x:f>
        <x:v>70</x:v>
      </x:c>
      <x:c r="L25" s="73" t="str">
        <x:v>High</x:v>
      </x:c>
      <x:c r="M25" s="73" t="str">
        <x:v>Not started</x:v>
      </x:c>
      <x:c r="N25" s="73" t="str">
        <x:v>Unassigned</x:v>
      </x:c>
      <x:c r="O25" s="73" t="str">
        <x:v>Aave on Ethereum is required; Morpho on Base remains optional and deferred.</x:v>
      </x:c>
    </x:row>
    <x:row r="26" ht="34" customHeight="1">
      <x:c r="A26" s="95" t="str">
        <x:v>EXE-016</x:v>
      </x:c>
      <x:c r="B26" s="73" t="str">
        <x:v>Week 3</x:v>
      </x:c>
      <x:c r="C26" s="74" t="n">
        <x:v>46293.5</x:v>
      </x:c>
      <x:c r="D26" s="74" t="n">
        <x:v>46299.5</x:v>
      </x:c>
      <x:c r="E26" s="73" t="str">
        <x:v>Residency</x:v>
      </x:c>
      <x:c r="F26" s="73" t="str">
        <x:v>Connect readiness checks and service fee gate</x:v>
      </x:c>
      <x:c r="G26" s="73" t="str">
        <x:v>Wire the four checks, documents and service-fee gate to persisted application state.</x:v>
      </x:c>
      <x:c r="H26" s="73" t="str">
        <x:v>KAD-023,KAD-025</x:v>
      </x:c>
      <x:c r="I26" s="101" t="n">
        <x:v>5</x:v>
      </x:c>
      <x:c r="J26" s="102" t="n">
        <x:v>17.5</x:v>
      </x:c>
      <x:c r="K26" s="102" t="n">
        <x:f>I26*J26</x:f>
        <x:v>87.5</x:v>
      </x:c>
      <x:c r="L26" s="73" t="str">
        <x:v>Critical</x:v>
      </x:c>
      <x:c r="M26" s="73" t="str">
        <x:v>Not started</x:v>
      </x:c>
      <x:c r="N26" s="73" t="str">
        <x:v>Unassigned</x:v>
      </x:c>
      <x:c r="O26" s="73" t="str"/>
    </x:row>
    <x:row r="27" ht="34" customHeight="1">
      <x:c r="A27" s="95" t="str">
        <x:v>EXE-017</x:v>
      </x:c>
      <x:c r="B27" s="73" t="str">
        <x:v>Week 3</x:v>
      </x:c>
      <x:c r="C27" s="74" t="n">
        <x:v>46293.5</x:v>
      </x:c>
      <x:c r="D27" s="74" t="n">
        <x:v>46299.5</x:v>
      </x:c>
      <x:c r="E27" s="73" t="str">
        <x:v>Identity</x:v>
      </x:c>
      <x:c r="F27" s="73" t="str">
        <x:v>Connect Self and KYC attestation</x:v>
      </x:c>
      <x:c r="G27" s="73" t="str">
        <x:v>Connect the existing Self modal to staging, issue kade.kyc.v1 and update readiness without storing raw proof.</x:v>
      </x:c>
      <x:c r="H27" s="73" t="str">
        <x:v>KAD-024</x:v>
      </x:c>
      <x:c r="I27" s="101" t="n">
        <x:v>3</x:v>
      </x:c>
      <x:c r="J27" s="102" t="n">
        <x:v>17.5</x:v>
      </x:c>
      <x:c r="K27" s="102" t="n">
        <x:f>I27*J27</x:f>
        <x:v>52.5</x:v>
      </x:c>
      <x:c r="L27" s="73" t="str">
        <x:v>Critical</x:v>
      </x:c>
      <x:c r="M27" s="73" t="str">
        <x:v>Not started</x:v>
      </x:c>
      <x:c r="N27" s="73" t="str">
        <x:v>Unassigned</x:v>
      </x:c>
      <x:c r="O27" s="73" t="str">
        <x:v>Requires a stable Self staging flow.</x:v>
      </x:c>
    </x:row>
    <x:row r="28" ht="34" customHeight="1">
      <x:c r="A28" s="95" t="str">
        <x:v>EXE-018</x:v>
      </x:c>
      <x:c r="B28" s="73" t="str">
        <x:v>Week 3</x:v>
      </x:c>
      <x:c r="C28" s="74" t="n">
        <x:v>46293.5</x:v>
      </x:c>
      <x:c r="D28" s="74" t="n">
        <x:v>46299.5</x:v>
      </x:c>
      <x:c r="E28" s="73" t="str">
        <x:v>Admin</x:v>
      </x:c>
      <x:c r="F28" s="73" t="str">
        <x:v>Connect Admin approve and Realtime</x:v>
      </x:c>
      <x:c r="G28" s="73" t="str">
        <x:v>Wire application queries, Approve, review event and live gate updates into the existing Admin and resident views.</x:v>
      </x:c>
      <x:c r="H28" s="73" t="str">
        <x:v>KAD-026</x:v>
      </x:c>
      <x:c r="I28" s="101" t="n">
        <x:v>4</x:v>
      </x:c>
      <x:c r="J28" s="102" t="n">
        <x:v>17.5</x:v>
      </x:c>
      <x:c r="K28" s="102" t="n">
        <x:f>I28*J28</x:f>
        <x:v>70</x:v>
      </x:c>
      <x:c r="L28" s="73" t="str">
        <x:v>Critical</x:v>
      </x:c>
      <x:c r="M28" s="73" t="str">
        <x:v>Not started</x:v>
      </x:c>
      <x:c r="N28" s="73" t="str">
        <x:v>Unassigned</x:v>
      </x:c>
      <x:c r="O28" s="73" t="str"/>
    </x:row>
    <x:row r="29" ht="34" customHeight="1">
      <x:c r="A29" s="95" t="str">
        <x:v>EXE-019</x:v>
      </x:c>
      <x:c r="B29" s="73" t="str">
        <x:v>Week 3</x:v>
      </x:c>
      <x:c r="C29" s="74" t="n">
        <x:v>46293.5</x:v>
      </x:c>
      <x:c r="D29" s="74" t="n">
        <x:v>46299.5</x:v>
      </x:c>
      <x:c r="E29" s="73" t="str">
        <x:v>Rails</x:v>
      </x:c>
      <x:c r="F29" s="73" t="str">
        <x:v>Connect one GOS/CCTP/card adapter path</x:v>
      </x:c>
      <x:c r="G29" s="73" t="str">
        <x:v>Make one funding or card path execute end-to-end through a partner adapter, with explicit pending/settled fallback states.</x:v>
      </x:c>
      <x:c r="H29" s="73" t="str">
        <x:v>KAD-027,KAD-028</x:v>
      </x:c>
      <x:c r="I29" s="101" t="n">
        <x:v>3</x:v>
      </x:c>
      <x:c r="J29" s="102" t="n">
        <x:v>17.5</x:v>
      </x:c>
      <x:c r="K29" s="102" t="n">
        <x:f>I29*J29</x:f>
        <x:v>52.5</x:v>
      </x:c>
      <x:c r="L29" s="73" t="str">
        <x:v>High</x:v>
      </x:c>
      <x:c r="M29" s="73" t="str">
        <x:v>Not started</x:v>
      </x:c>
      <x:c r="N29" s="73" t="str">
        <x:v>Unassigned</x:v>
      </x:c>
      <x:c r="O29" s="73" t="str">
        <x:v>Full partner integration effort remains in the engineering backlog.</x:v>
      </x:c>
    </x:row>
    <x:row r="30" ht="34" customHeight="1">
      <x:c r="A30" s="95" t="str">
        <x:v>EXE-020</x:v>
      </x:c>
      <x:c r="B30" s="73" t="str">
        <x:v>Week 4</x:v>
      </x:c>
      <x:c r="C30" s="74" t="n">
        <x:v>46300.5</x:v>
      </x:c>
      <x:c r="D30" s="74" t="n">
        <x:v>46307.5</x:v>
      </x:c>
      <x:c r="E30" s="73" t="str">
        <x:v>Voting</x:v>
      </x:c>
      <x:c r="F30" s="73" t="str">
        <x:v>Connect Snapshot eligibility and vote</x:v>
      </x:c>
      <x:c r="G30" s="73" t="str">
        <x:v>Wire the existing Vote page to the space, proposal, KYC strategy and signed ballot.</x:v>
      </x:c>
      <x:c r="H30" s="73" t="str">
        <x:v>KAD-029</x:v>
      </x:c>
      <x:c r="I30" s="101" t="n">
        <x:v>2</x:v>
      </x:c>
      <x:c r="J30" s="102" t="n">
        <x:v>17.5</x:v>
      </x:c>
      <x:c r="K30" s="102" t="n">
        <x:f>I30*J30</x:f>
        <x:v>35</x:v>
      </x:c>
      <x:c r="L30" s="73" t="str">
        <x:v>Medium</x:v>
      </x:c>
      <x:c r="M30" s="73" t="str">
        <x:v>Not started</x:v>
      </x:c>
      <x:c r="N30" s="73" t="str">
        <x:v>Unassigned</x:v>
      </x:c>
      <x:c r="O30" s="73" t="str"/>
    </x:row>
    <x:row r="31" ht="34" customHeight="1">
      <x:c r="A31" s="95" t="str">
        <x:v>EXE-021</x:v>
      </x:c>
      <x:c r="B31" s="73" t="str">
        <x:v>Week 4</x:v>
      </x:c>
      <x:c r="C31" s="74" t="n">
        <x:v>46300.5</x:v>
      </x:c>
      <x:c r="D31" s="74" t="n">
        <x:v>46307.5</x:v>
      </x:c>
      <x:c r="E31" s="73" t="str">
        <x:v>Frontend</x:v>
      </x:c>
      <x:c r="F31" s="73" t="str">
        <x:v>Finish states and data consistency</x:v>
      </x:c>
      <x:c r="G31" s="73" t="str">
        <x:v>Remove remaining mock success states, align totals/statuses and replace placeholder receipt links.</x:v>
      </x:c>
      <x:c r="H31" s="73" t="str">
        <x:v>KAD-030</x:v>
      </x:c>
      <x:c r="I31" s="101" t="n">
        <x:v>2</x:v>
      </x:c>
      <x:c r="J31" s="102" t="n">
        <x:v>17.5</x:v>
      </x:c>
      <x:c r="K31" s="102" t="n">
        <x:f>I31*J31</x:f>
        <x:v>35</x:v>
      </x:c>
      <x:c r="L31" s="73" t="str">
        <x:v>Critical</x:v>
      </x:c>
      <x:c r="M31" s="73" t="str">
        <x:v>Not started</x:v>
      </x:c>
      <x:c r="N31" s="73" t="str">
        <x:v>Unassigned</x:v>
      </x:c>
      <x:c r="O31" s="73" t="str"/>
    </x:row>
    <x:row r="32" ht="34" customHeight="1">
      <x:c r="A32" s="95" t="str">
        <x:v>EXE-022</x:v>
      </x:c>
      <x:c r="B32" s="73" t="str">
        <x:v>Week 4</x:v>
      </x:c>
      <x:c r="C32" s="74" t="n">
        <x:v>46300.5</x:v>
      </x:c>
      <x:c r="D32" s="74" t="n">
        <x:v>46307.5</x:v>
      </x:c>
      <x:c r="E32" s="73" t="str">
        <x:v>Demo</x:v>
      </x:c>
      <x:c r="F32" s="73" t="str">
        <x:v>Prepare seeded accounts and reset</x:v>
      </x:c>
      <x:c r="G32" s="73" t="str">
        <x:v>Create known demo users, applications, funds and a reproducible reset path.</x:v>
      </x:c>
      <x:c r="H32" s="73" t="str">
        <x:v>KAD-031</x:v>
      </x:c>
      <x:c r="I32" s="101" t="n">
        <x:v>2</x:v>
      </x:c>
      <x:c r="J32" s="102" t="n">
        <x:v>17.5</x:v>
      </x:c>
      <x:c r="K32" s="102" t="n">
        <x:f>I32*J32</x:f>
        <x:v>35</x:v>
      </x:c>
      <x:c r="L32" s="73" t="str">
        <x:v>Critical</x:v>
      </x:c>
      <x:c r="M32" s="73" t="str">
        <x:v>Not started</x:v>
      </x:c>
      <x:c r="N32" s="73" t="str">
        <x:v>Unassigned</x:v>
      </x:c>
      <x:c r="O32" s="73" t="str"/>
    </x:row>
    <x:row r="33" ht="34" customHeight="1">
      <x:c r="A33" s="95" t="str">
        <x:v>EXE-023</x:v>
      </x:c>
      <x:c r="B33" s="73" t="str">
        <x:v>Week 4</x:v>
      </x:c>
      <x:c r="C33" s="74" t="n">
        <x:v>46300.5</x:v>
      </x:c>
      <x:c r="D33" s="74" t="n">
        <x:v>46307.5</x:v>
      </x:c>
      <x:c r="E33" s="73" t="str">
        <x:v>QA</x:v>
      </x:c>
      <x:c r="F33" s="73" t="str">
        <x:v>Run end-to-end and permission regression</x:v>
      </x:c>
      <x:c r="G33" s="73" t="str">
        <x:v>Run the resident journey plus critical contract, RLS, admin and accounting checks.</x:v>
      </x:c>
      <x:c r="H33" s="73" t="str">
        <x:v>KAD-032</x:v>
      </x:c>
      <x:c r="I33" s="101" t="n">
        <x:v>3</x:v>
      </x:c>
      <x:c r="J33" s="102" t="n">
        <x:v>17.5</x:v>
      </x:c>
      <x:c r="K33" s="102" t="n">
        <x:f>I33*J33</x:f>
        <x:v>52.5</x:v>
      </x:c>
      <x:c r="L33" s="73" t="str">
        <x:v>Critical</x:v>
      </x:c>
      <x:c r="M33" s="73" t="str">
        <x:v>Not started</x:v>
      </x:c>
      <x:c r="N33" s="73" t="str">
        <x:v>Unassigned</x:v>
      </x:c>
      <x:c r="O33" s="73" t="str"/>
    </x:row>
    <x:row r="34" ht="34" customHeight="1">
      <x:c r="A34" s="95" t="str">
        <x:v>EXE-024</x:v>
      </x:c>
      <x:c r="B34" s="73" t="str">
        <x:v>Week 4</x:v>
      </x:c>
      <x:c r="C34" s="74" t="n">
        <x:v>46300.5</x:v>
      </x:c>
      <x:c r="D34" s="74" t="n">
        <x:v>46307.5</x:v>
      </x:c>
      <x:c r="E34" s="73" t="str">
        <x:v>Release</x:v>
      </x:c>
      <x:c r="F34" s="73" t="str">
        <x:v>Deploy and finalize technical documentation</x:v>
      </x:c>
      <x:c r="G34" s="73" t="str">
        <x:v>Deploy the final build and complete README, addresses, UIDs and real/staging/simulated notes.</x:v>
      </x:c>
      <x:c r="H34" s="73" t="str">
        <x:v>KAD-034</x:v>
      </x:c>
      <x:c r="I34" s="101" t="n">
        <x:v>2</x:v>
      </x:c>
      <x:c r="J34" s="102" t="n">
        <x:v>17.5</x:v>
      </x:c>
      <x:c r="K34" s="102" t="n">
        <x:f>I34*J34</x:f>
        <x:v>35</x:v>
      </x:c>
      <x:c r="L34" s="73" t="str">
        <x:v>Critical</x:v>
      </x:c>
      <x:c r="M34" s="73" t="str">
        <x:v>Not started</x:v>
      </x:c>
      <x:c r="N34" s="73" t="str">
        <x:v>Unassigned</x:v>
      </x:c>
      <x:c r="O34" s="73" t="str"/>
    </x:row>
    <x:row r="35" ht="34" customHeight="1">
      <x:c r="A35" s="95" t="str">
        <x:v>EXE-025</x:v>
      </x:c>
      <x:c r="B35" s="73" t="str">
        <x:v>Week 4</x:v>
      </x:c>
      <x:c r="C35" s="74" t="n">
        <x:v>46300.5</x:v>
      </x:c>
      <x:c r="D35" s="74" t="n">
        <x:v>46307.5</x:v>
      </x:c>
      <x:c r="E35" s="73" t="str">
        <x:v>Release</x:v>
      </x:c>
      <x:c r="F35" s="73" t="str">
        <x:v>Freeze support and technical handoff</x:v>
      </x:c>
      <x:c r="G35" s="73" t="str">
        <x:v>Validate the frozen build, support the technical demo handoff and keep the release reproducible through the submission window.</x:v>
      </x:c>
      <x:c r="H35" s="73" t="str">
        <x:v>KAD-035,KAD-036</x:v>
      </x:c>
      <x:c r="I35" s="101" t="n">
        <x:v>4</x:v>
      </x:c>
      <x:c r="J35" s="102" t="n">
        <x:v>17.5</x:v>
      </x:c>
      <x:c r="K35" s="102" t="n">
        <x:f>I35*J35</x:f>
        <x:v>70</x:v>
      </x:c>
      <x:c r="L35" s="73" t="str">
        <x:v>Critical</x:v>
      </x:c>
      <x:c r="M35" s="73" t="str">
        <x:v>Not started</x:v>
      </x:c>
      <x:c r="N35" s="73" t="str">
        <x:v>Unassigned</x:v>
      </x:c>
      <x:c r="O35" s="73" t="str">
        <x:v>Technical release support only.</x:v>
      </x:c>
    </x:row>
    <x:row r="38">
      <x:c r="A38" s="10" t="str">
        <x:v>Deferred engineering beyond 80h</x:v>
      </x:c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</x:row>
    <x:row r="39">
      <x:c r="A39" s="76" t="str">
        <x:v>Backlog ID</x:v>
      </x:c>
      <x:c r="B39" s="76" t="str"/>
      <x:c r="C39" s="76" t="str"/>
      <x:c r="D39" s="76" t="str"/>
      <x:c r="E39" s="76" t="str">
        <x:v>Workstream</x:v>
      </x:c>
      <x:c r="F39" s="76" t="str">
        <x:v>Task</x:v>
      </x:c>
      <x:c r="G39" s="76" t="str">
        <x:v>Description</x:v>
      </x:c>
      <x:c r="H39" s="76" t="str"/>
      <x:c r="I39" s="76" t="str"/>
      <x:c r="J39" s="76" t="str"/>
      <x:c r="K39" s="76" t="str"/>
      <x:c r="L39" s="76" t="str"/>
      <x:c r="M39" s="76" t="str">
        <x:v>Backlog hours</x:v>
      </x:c>
      <x:c r="N39" s="76" t="str"/>
      <x:c r="O39" s="76" t="str">
        <x:v>Reason deferred</x:v>
      </x:c>
    </x:row>
    <x:row r="40" ht="42" customHeight="1">
      <x:c r="A40" s="83" t="str">
        <x:v>KAD-018</x:v>
      </x:c>
      <x:c r="B40" s="97"/>
      <x:c r="C40" s="97"/>
      <x:c r="D40" s="97"/>
      <x:c r="E40" s="97" t="str">
        <x:f>VLOOKUP(A40,Backlog!$A$7:$P$42,6,FALSE)</x:f>
        <x:v>Reliability</x:v>
      </x:c>
      <x:c r="F40" s="97" t="str">
        <x:f>VLOOKUP(A40,Backlog!$A$7:$P$42,8,FALSE)</x:f>
        <x:v>Handle wallet, RPC and transaction failures</x:v>
      </x:c>
      <x:c r="G40" s="97" t="str">
        <x:f>VLOOKUP(A40,Backlog!$A$7:$P$42,9,FALSE)</x:f>
        <x:v>Add visible recovery paths for rejected signatures, wrong network, unavailable RPC and failed transactions.</x:v>
      </x:c>
      <x:c r="H40" s="97"/>
      <x:c r="I40" s="97"/>
      <x:c r="J40" s="97"/>
      <x:c r="K40" s="97"/>
      <x:c r="L40" s="97"/>
      <x:c r="M40" s="98" t="n">
        <x:f>VLOOKUP(A40,Backlog!$A$7:$P$42,13,FALSE)</x:f>
        <x:v>6</x:v>
      </x:c>
      <x:c r="N40" s="97"/>
      <x:c r="O40" s="97" t="str">
        <x:v>Wallet/RPC failure coverage beyond the critical path</x:v>
      </x:c>
    </x:row>
    <x:row r="41" ht="42" customHeight="1">
      <x:c r="A41" s="83" t="str">
        <x:v>KAD-022</x:v>
      </x:c>
      <x:c r="B41" s="97"/>
      <x:c r="C41" s="97"/>
      <x:c r="D41" s="97"/>
      <x:c r="E41" s="97" t="str">
        <x:f>VLOOKUP(A41,Backlog!$A$7:$P$42,6,FALSE)</x:f>
        <x:v>Invest</x:v>
      </x:c>
      <x:c r="F41" s="97" t="str">
        <x:f>VLOOKUP(A41,Backlog!$A$7:$P$42,8,FALSE)</x:f>
        <x:v>Connect the Aave vault on Ethereum and the optional Morpho path on Base</x:v>
      </x:c>
      <x:c r="G41" s="97" t="str">
        <x:f>VLOOKUP(A41,Backlog!$A$7:$P$42,9,FALSE)</x:f>
        <x:v>Implement the minimum Aave vault deposit, position and confirmation flow required for the demo; keep Morpho as an optional extension.</x:v>
      </x:c>
      <x:c r="H41" s="97"/>
      <x:c r="I41" s="97"/>
      <x:c r="J41" s="97"/>
      <x:c r="K41" s="97"/>
      <x:c r="L41" s="97"/>
      <x:c r="M41" s="98" t="n">
        <x:f>VLOOKUP(A41,Backlog!$A$7:$P$42,13,FALSE)</x:f>
        <x:v>24</x:v>
      </x:c>
      <x:c r="N41" s="97"/>
      <x:c r="O41" s="97" t="str">
        <x:v>Morpho on Base remains deferred; Aave on Ethereum is included in the 80h path</x:v>
      </x:c>
    </x:row>
    <x:row r="42" ht="42" customHeight="1">
      <x:c r="A42" s="83" t="str">
        <x:v>KAD-027</x:v>
      </x:c>
      <x:c r="B42" s="97"/>
      <x:c r="C42" s="97"/>
      <x:c r="D42" s="97"/>
      <x:c r="E42" s="97" t="str">
        <x:f>VLOOKUP(A42,Backlog!$A$7:$P$42,6,FALSE)</x:f>
        <x:v>Fiat rails</x:v>
      </x:c>
      <x:c r="F42" s="97" t="str">
        <x:f>VLOOKUP(A42,Backlog!$A$7:$P$42,8,FALSE)</x:f>
        <x:v>Connect GOS funding, cash-out and CCTP statuses</x:v>
      </x:c>
      <x:c r="G42" s="97" t="str">
        <x:f>VLOOKUP(A42,Backlog!$A$7:$P$42,9,FALSE)</x:f>
        <x:v>Connect the existing Bank ↔ Crypto forms to GOS/adapter responses, bridge states, references and retries.</x:v>
      </x:c>
      <x:c r="H42" s="97"/>
      <x:c r="I42" s="97"/>
      <x:c r="J42" s="97"/>
      <x:c r="K42" s="97"/>
      <x:c r="L42" s="97"/>
      <x:c r="M42" s="98" t="n">
        <x:f>VLOOKUP(A42,Backlog!$A$7:$P$42,13,FALSE)</x:f>
        <x:v>24</x:v>
      </x:c>
      <x:c r="N42" s="97"/>
      <x:c r="O42" s="97" t="str">
        <x:v>Complete GOS funding/cash-out and CCTP relayer integration</x:v>
      </x:c>
    </x:row>
    <x:row r="43" ht="42" customHeight="1">
      <x:c r="A43" s="83" t="str">
        <x:v>KAD-028</x:v>
      </x:c>
      <x:c r="B43" s="97"/>
      <x:c r="C43" s="97"/>
      <x:c r="D43" s="97"/>
      <x:c r="E43" s="97" t="str">
        <x:f>VLOOKUP(A43,Backlog!$A$7:$P$42,6,FALSE)</x:f>
        <x:v>Card</x:v>
      </x:c>
      <x:c r="F43" s="97" t="str">
        <x:f>VLOOKUP(A43,Backlog!$A$7:$P$42,8,FALSE)</x:f>
        <x:v>Connect card order, activation and three-network top-ups</x:v>
      </x:c>
      <x:c r="G43" s="97" t="str">
        <x:f>VLOOKUP(A43,Backlog!$A$7:$P$42,9,FALSE)</x:f>
        <x:v>Wire the existing card screens to card status, source chain, amount, ledger and settlement.</x:v>
      </x:c>
      <x:c r="H43" s="97"/>
      <x:c r="I43" s="97"/>
      <x:c r="J43" s="97"/>
      <x:c r="K43" s="97"/>
      <x:c r="L43" s="97"/>
      <x:c r="M43" s="98" t="n">
        <x:f>VLOOKUP(A43,Backlog!$A$7:$P$42,13,FALSE)</x:f>
        <x:v>16</x:v>
      </x:c>
      <x:c r="N43" s="97"/>
      <x:c r="O43" s="97" t="str">
        <x:v>Full card order, activation and three-source top-ups</x:v>
      </x:c>
    </x:row>
    <x:row r="44" ht="42" customHeight="1">
      <x:c r="A44" s="84" t="str">
        <x:v>KAD-033</x:v>
      </x:c>
      <x:c r="B44" s="99"/>
      <x:c r="C44" s="99"/>
      <x:c r="D44" s="99"/>
      <x:c r="E44" s="99" t="str">
        <x:f>VLOOKUP(A44,Backlog!$A$7:$P$42,6,FALSE)</x:f>
        <x:v>Security</x:v>
      </x:c>
      <x:c r="F44" s="99" t="str">
        <x:f>VLOOKUP(A44,Backlog!$A$7:$P$42,8,FALSE)</x:f>
        <x:v>Review paymaster, relayer, secrets and PII handling</x:v>
      </x:c>
      <x:c r="G44" s="99" t="str">
        <x:f>VLOOKUP(A44,Backlog!$A$7:$P$42,9,FALSE)</x:f>
        <x:v>Check daily caps, replay protection, secrets, logs and Self proof handling.</x:v>
      </x:c>
      <x:c r="H44" s="99"/>
      <x:c r="I44" s="99"/>
      <x:c r="J44" s="99"/>
      <x:c r="K44" s="99"/>
      <x:c r="L44" s="99"/>
      <x:c r="M44" s="100" t="n">
        <x:f>VLOOKUP(A44,Backlog!$A$7:$P$42,13,FALSE)</x:f>
        <x:v>6</x:v>
      </x:c>
      <x:c r="N44" s="99"/>
      <x:c r="O44" s="99" t="str">
        <x:v>Extended security hardening beyond the critical regression set</x:v>
      </x:c>
    </x:row>
  </x:sheetData>
  <x:mergeCells>
    <x:mergeCell ref="A1:O1"/>
    <x:mergeCell ref="A2:O2"/>
    <x:mergeCell ref="A38:F38"/>
  </x:mergeCells>
  <x:conditionalFormatting sqref="M11:M35">
    <x:cfRule type="containsText" dxfId="3" priority="1" operator="containsText" text="Done"/>
    <x:cfRule type="containsText" dxfId="4" priority="2" operator="containsText" text="Blocked"/>
  </x:conditionalFormatting>
  <x:dataValidations count="2">
    <x:dataValidation type="list" sqref="M11:M35">
      <x:formula1>"Not started,In progress,Blocked,Done"</x:formula1>
    </x:dataValidation>
    <x:dataValidation type="list" sqref="L11:L35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0933f900994cb2"/>
  </x:tableParts>
</x:worksheet>
</file>